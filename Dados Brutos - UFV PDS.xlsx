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ao.ivo\Downloads\"/>
    </mc:Choice>
  </mc:AlternateContent>
  <xr:revisionPtr revIDLastSave="0" documentId="13_ncr:1_{9A8617B9-0729-46F1-84B3-46D473AA5B88}" xr6:coauthVersionLast="47" xr6:coauthVersionMax="47" xr10:uidLastSave="{00000000-0000-0000-0000-000000000000}"/>
  <bookViews>
    <workbookView xWindow="-28920" yWindow="-120" windowWidth="29040" windowHeight="15720" xr2:uid="{391CD0B0-2074-4083-9E81-72E6810AFEB3}"/>
  </bookViews>
  <sheets>
    <sheet name="Dados Brutos - UFV P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94" i="1" l="1"/>
  <c r="K394" i="1"/>
  <c r="M393" i="1"/>
  <c r="K393" i="1"/>
  <c r="M392" i="1"/>
  <c r="K392" i="1"/>
  <c r="M391" i="1"/>
  <c r="K391" i="1"/>
  <c r="M390" i="1"/>
  <c r="K390" i="1"/>
  <c r="M389" i="1"/>
  <c r="K389" i="1"/>
  <c r="M388" i="1"/>
  <c r="K388" i="1"/>
  <c r="M387" i="1"/>
  <c r="K387" i="1"/>
  <c r="M386" i="1"/>
  <c r="K386" i="1"/>
  <c r="M385" i="1"/>
  <c r="K385" i="1"/>
  <c r="M384" i="1"/>
  <c r="K384" i="1"/>
  <c r="M383" i="1"/>
  <c r="K383" i="1"/>
  <c r="M382" i="1"/>
  <c r="K382" i="1"/>
  <c r="M381" i="1"/>
  <c r="K381" i="1"/>
  <c r="M380" i="1"/>
  <c r="K380" i="1"/>
  <c r="M379" i="1"/>
  <c r="K379" i="1"/>
  <c r="M378" i="1"/>
  <c r="K378" i="1"/>
  <c r="M377" i="1"/>
  <c r="K377" i="1"/>
  <c r="M376" i="1"/>
  <c r="K376" i="1"/>
  <c r="M375" i="1"/>
  <c r="K375" i="1"/>
  <c r="M374" i="1"/>
  <c r="K374" i="1"/>
  <c r="M373" i="1"/>
  <c r="K373" i="1"/>
  <c r="M372" i="1"/>
  <c r="K372" i="1"/>
  <c r="M371" i="1"/>
  <c r="K371" i="1"/>
  <c r="M370" i="1"/>
  <c r="K370" i="1"/>
  <c r="M369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B341" i="1"/>
  <c r="M340" i="1"/>
  <c r="K340" i="1"/>
  <c r="B340" i="1"/>
  <c r="M339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B309" i="1"/>
  <c r="M308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B281" i="1"/>
  <c r="K280" i="1"/>
  <c r="B280" i="1"/>
  <c r="M280" i="1" s="1"/>
  <c r="K279" i="1"/>
  <c r="B279" i="1"/>
  <c r="M279" i="1" s="1"/>
  <c r="M278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B248" i="1"/>
  <c r="M247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B223" i="1"/>
  <c r="K222" i="1"/>
  <c r="B222" i="1"/>
  <c r="M222" i="1" s="1"/>
  <c r="K221" i="1"/>
  <c r="B221" i="1"/>
  <c r="M221" i="1" s="1"/>
  <c r="M220" i="1"/>
  <c r="K220" i="1"/>
  <c r="B220" i="1"/>
  <c r="M219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B189" i="1"/>
  <c r="M188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B160" i="1"/>
  <c r="K159" i="1"/>
  <c r="B159" i="1"/>
  <c r="M159" i="1" s="1"/>
  <c r="M158" i="1"/>
  <c r="K158" i="1"/>
  <c r="B158" i="1"/>
  <c r="M157" i="1"/>
  <c r="K157" i="1"/>
  <c r="M156" i="1"/>
  <c r="K156" i="1"/>
  <c r="M155" i="1"/>
  <c r="K155" i="1"/>
  <c r="M154" i="1"/>
  <c r="K154" i="1"/>
  <c r="M153" i="1"/>
  <c r="K153" i="1"/>
  <c r="M152" i="1"/>
  <c r="K152" i="1"/>
  <c r="M151" i="1"/>
  <c r="K151" i="1"/>
  <c r="M150" i="1"/>
  <c r="K150" i="1"/>
  <c r="M149" i="1"/>
  <c r="K149" i="1"/>
  <c r="M148" i="1"/>
  <c r="K148" i="1"/>
  <c r="M147" i="1"/>
  <c r="K147" i="1"/>
  <c r="M146" i="1"/>
  <c r="K146" i="1"/>
  <c r="M145" i="1"/>
  <c r="K145" i="1"/>
  <c r="M144" i="1"/>
  <c r="K144" i="1"/>
  <c r="M143" i="1"/>
  <c r="K143" i="1"/>
  <c r="M142" i="1"/>
  <c r="K142" i="1"/>
  <c r="M141" i="1"/>
  <c r="K141" i="1"/>
  <c r="M140" i="1"/>
  <c r="K140" i="1"/>
  <c r="M139" i="1"/>
  <c r="K139" i="1"/>
  <c r="M138" i="1"/>
  <c r="K138" i="1"/>
  <c r="M137" i="1"/>
  <c r="K137" i="1"/>
  <c r="M136" i="1"/>
  <c r="K136" i="1"/>
  <c r="M135" i="1"/>
  <c r="K135" i="1"/>
  <c r="M134" i="1"/>
  <c r="K134" i="1"/>
  <c r="M133" i="1"/>
  <c r="K133" i="1"/>
  <c r="M132" i="1"/>
  <c r="K132" i="1"/>
  <c r="M131" i="1"/>
  <c r="K131" i="1"/>
  <c r="M130" i="1"/>
  <c r="K130" i="1"/>
  <c r="M129" i="1"/>
  <c r="K129" i="1"/>
  <c r="M128" i="1"/>
  <c r="K128" i="1"/>
  <c r="M127" i="1"/>
  <c r="K127" i="1"/>
  <c r="M126" i="1"/>
  <c r="K126" i="1"/>
  <c r="M125" i="1"/>
  <c r="K125" i="1"/>
  <c r="M124" i="1"/>
  <c r="K124" i="1"/>
  <c r="M123" i="1"/>
  <c r="K123" i="1"/>
  <c r="M122" i="1"/>
  <c r="K122" i="1"/>
  <c r="M121" i="1"/>
  <c r="K121" i="1"/>
  <c r="M120" i="1"/>
  <c r="K120" i="1"/>
  <c r="M119" i="1"/>
  <c r="K119" i="1"/>
  <c r="M118" i="1"/>
  <c r="K118" i="1"/>
  <c r="M117" i="1"/>
  <c r="K117" i="1"/>
  <c r="M116" i="1"/>
  <c r="K116" i="1"/>
  <c r="M115" i="1"/>
  <c r="K115" i="1"/>
  <c r="M114" i="1"/>
  <c r="K114" i="1"/>
  <c r="M113" i="1"/>
  <c r="K113" i="1"/>
  <c r="M112" i="1"/>
  <c r="K112" i="1"/>
  <c r="M111" i="1"/>
  <c r="K111" i="1"/>
  <c r="M110" i="1"/>
  <c r="K110" i="1"/>
  <c r="M109" i="1"/>
  <c r="K109" i="1"/>
  <c r="M108" i="1"/>
  <c r="K108" i="1"/>
  <c r="M107" i="1"/>
  <c r="K107" i="1"/>
  <c r="M106" i="1"/>
  <c r="K106" i="1"/>
  <c r="M105" i="1"/>
  <c r="K105" i="1"/>
  <c r="M104" i="1"/>
  <c r="K104" i="1"/>
  <c r="M103" i="1"/>
  <c r="K103" i="1"/>
  <c r="M102" i="1"/>
  <c r="K102" i="1"/>
  <c r="M101" i="1"/>
  <c r="K101" i="1"/>
  <c r="M100" i="1"/>
  <c r="K100" i="1"/>
  <c r="M99" i="1"/>
  <c r="K99" i="1"/>
  <c r="M98" i="1"/>
  <c r="K98" i="1"/>
  <c r="M97" i="1"/>
  <c r="K97" i="1"/>
  <c r="M96" i="1"/>
  <c r="K96" i="1"/>
  <c r="M95" i="1"/>
  <c r="K95" i="1"/>
  <c r="M94" i="1"/>
  <c r="K94" i="1"/>
  <c r="M93" i="1"/>
  <c r="K93" i="1"/>
  <c r="M92" i="1"/>
  <c r="K92" i="1"/>
  <c r="M91" i="1"/>
  <c r="K91" i="1"/>
  <c r="M90" i="1"/>
  <c r="K90" i="1"/>
  <c r="M89" i="1"/>
  <c r="K89" i="1"/>
  <c r="M88" i="1"/>
  <c r="K88" i="1"/>
  <c r="M87" i="1"/>
  <c r="K87" i="1"/>
  <c r="M86" i="1"/>
  <c r="K86" i="1"/>
  <c r="M85" i="1"/>
  <c r="K85" i="1"/>
  <c r="M84" i="1"/>
  <c r="K84" i="1"/>
  <c r="M83" i="1"/>
  <c r="K83" i="1"/>
  <c r="M82" i="1"/>
  <c r="K82" i="1"/>
  <c r="M81" i="1"/>
  <c r="K81" i="1"/>
  <c r="M80" i="1"/>
  <c r="K80" i="1"/>
  <c r="M79" i="1"/>
  <c r="K79" i="1"/>
  <c r="M78" i="1"/>
  <c r="K78" i="1"/>
  <c r="M77" i="1"/>
  <c r="K77" i="1"/>
  <c r="M76" i="1"/>
  <c r="K76" i="1"/>
  <c r="M75" i="1"/>
  <c r="K75" i="1"/>
  <c r="M74" i="1"/>
  <c r="K74" i="1"/>
  <c r="M73" i="1"/>
  <c r="K73" i="1"/>
  <c r="M72" i="1"/>
  <c r="K72" i="1"/>
  <c r="M71" i="1"/>
  <c r="K71" i="1"/>
  <c r="M70" i="1"/>
  <c r="K70" i="1"/>
  <c r="M69" i="1"/>
  <c r="K69" i="1"/>
  <c r="M68" i="1"/>
  <c r="K68" i="1"/>
  <c r="M67" i="1"/>
  <c r="K67" i="1"/>
  <c r="M66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M36" i="1"/>
  <c r="K36" i="1"/>
  <c r="B36" i="1"/>
  <c r="B37" i="1" s="1"/>
  <c r="M37" i="1" s="1"/>
  <c r="M35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B5" i="1"/>
  <c r="M5" i="1" s="1"/>
  <c r="M4" i="1"/>
  <c r="K4" i="1"/>
  <c r="B282" i="1" l="1"/>
  <c r="M281" i="1"/>
  <c r="B6" i="1"/>
  <c r="B190" i="1"/>
  <c r="M189" i="1"/>
  <c r="B224" i="1"/>
  <c r="M223" i="1"/>
  <c r="B161" i="1"/>
  <c r="M160" i="1"/>
  <c r="B310" i="1"/>
  <c r="M309" i="1"/>
  <c r="B38" i="1"/>
  <c r="B342" i="1"/>
  <c r="M341" i="1"/>
  <c r="B249" i="1"/>
  <c r="M248" i="1"/>
  <c r="M224" i="1" l="1"/>
  <c r="B225" i="1"/>
  <c r="M342" i="1"/>
  <c r="B343" i="1"/>
  <c r="B311" i="1"/>
  <c r="M310" i="1"/>
  <c r="B191" i="1"/>
  <c r="M190" i="1"/>
  <c r="B7" i="1"/>
  <c r="M6" i="1"/>
  <c r="B162" i="1"/>
  <c r="M161" i="1"/>
  <c r="M282" i="1"/>
  <c r="B283" i="1"/>
  <c r="B250" i="1"/>
  <c r="M249" i="1"/>
  <c r="M38" i="1"/>
  <c r="B39" i="1"/>
  <c r="B344" i="1" l="1"/>
  <c r="M343" i="1"/>
  <c r="B8" i="1"/>
  <c r="M7" i="1"/>
  <c r="B284" i="1"/>
  <c r="M283" i="1"/>
  <c r="M191" i="1"/>
  <c r="B192" i="1"/>
  <c r="B226" i="1"/>
  <c r="M225" i="1"/>
  <c r="M311" i="1"/>
  <c r="B312" i="1"/>
  <c r="M250" i="1"/>
  <c r="B251" i="1"/>
  <c r="M162" i="1"/>
  <c r="B163" i="1"/>
  <c r="B40" i="1"/>
  <c r="M39" i="1"/>
  <c r="B285" i="1" l="1"/>
  <c r="M284" i="1"/>
  <c r="M251" i="1"/>
  <c r="B252" i="1"/>
  <c r="B227" i="1"/>
  <c r="M226" i="1"/>
  <c r="B193" i="1"/>
  <c r="M192" i="1"/>
  <c r="B313" i="1"/>
  <c r="M312" i="1"/>
  <c r="B9" i="1"/>
  <c r="M8" i="1"/>
  <c r="B164" i="1"/>
  <c r="M163" i="1"/>
  <c r="B41" i="1"/>
  <c r="M40" i="1"/>
  <c r="B345" i="1"/>
  <c r="M344" i="1"/>
  <c r="M9" i="1" l="1"/>
  <c r="B10" i="1"/>
  <c r="B42" i="1"/>
  <c r="M41" i="1"/>
  <c r="B253" i="1"/>
  <c r="M252" i="1"/>
  <c r="B165" i="1"/>
  <c r="M164" i="1"/>
  <c r="M193" i="1"/>
  <c r="B194" i="1"/>
  <c r="M345" i="1"/>
  <c r="B346" i="1"/>
  <c r="B228" i="1"/>
  <c r="M227" i="1"/>
  <c r="B314" i="1"/>
  <c r="M313" i="1"/>
  <c r="B286" i="1"/>
  <c r="M285" i="1"/>
  <c r="B254" i="1" l="1"/>
  <c r="M253" i="1"/>
  <c r="M42" i="1"/>
  <c r="B43" i="1"/>
  <c r="B195" i="1"/>
  <c r="M194" i="1"/>
  <c r="B229" i="1"/>
  <c r="M228" i="1"/>
  <c r="B166" i="1"/>
  <c r="M165" i="1"/>
  <c r="B11" i="1"/>
  <c r="M10" i="1"/>
  <c r="B287" i="1"/>
  <c r="M286" i="1"/>
  <c r="B315" i="1"/>
  <c r="M314" i="1"/>
  <c r="B347" i="1"/>
  <c r="M346" i="1"/>
  <c r="B196" i="1" l="1"/>
  <c r="M195" i="1"/>
  <c r="B348" i="1"/>
  <c r="M347" i="1"/>
  <c r="B255" i="1"/>
  <c r="M254" i="1"/>
  <c r="B12" i="1"/>
  <c r="M11" i="1"/>
  <c r="M43" i="1"/>
  <c r="B44" i="1"/>
  <c r="B316" i="1"/>
  <c r="M315" i="1"/>
  <c r="B167" i="1"/>
  <c r="M166" i="1"/>
  <c r="M287" i="1"/>
  <c r="B288" i="1"/>
  <c r="M229" i="1"/>
  <c r="B230" i="1"/>
  <c r="B256" i="1" l="1"/>
  <c r="M255" i="1"/>
  <c r="M288" i="1"/>
  <c r="B289" i="1"/>
  <c r="M167" i="1"/>
  <c r="B168" i="1"/>
  <c r="M316" i="1"/>
  <c r="B317" i="1"/>
  <c r="B45" i="1"/>
  <c r="M44" i="1"/>
  <c r="M348" i="1"/>
  <c r="B349" i="1"/>
  <c r="M230" i="1"/>
  <c r="B231" i="1"/>
  <c r="M12" i="1"/>
  <c r="B13" i="1"/>
  <c r="M196" i="1"/>
  <c r="B197" i="1"/>
  <c r="B14" i="1" l="1"/>
  <c r="M13" i="1"/>
  <c r="B232" i="1"/>
  <c r="M231" i="1"/>
  <c r="B46" i="1"/>
  <c r="M45" i="1"/>
  <c r="B198" i="1"/>
  <c r="M197" i="1"/>
  <c r="B257" i="1"/>
  <c r="M256" i="1"/>
  <c r="B290" i="1"/>
  <c r="M289" i="1"/>
  <c r="B318" i="1"/>
  <c r="M317" i="1"/>
  <c r="B350" i="1"/>
  <c r="M349" i="1"/>
  <c r="B169" i="1"/>
  <c r="M168" i="1"/>
  <c r="M290" i="1" l="1"/>
  <c r="B291" i="1"/>
  <c r="B170" i="1"/>
  <c r="M169" i="1"/>
  <c r="B351" i="1"/>
  <c r="M350" i="1"/>
  <c r="M232" i="1"/>
  <c r="B233" i="1"/>
  <c r="B319" i="1"/>
  <c r="M318" i="1"/>
  <c r="M46" i="1"/>
  <c r="B47" i="1"/>
  <c r="B258" i="1"/>
  <c r="M257" i="1"/>
  <c r="B199" i="1"/>
  <c r="M198" i="1"/>
  <c r="B15" i="1"/>
  <c r="M14" i="1"/>
  <c r="M170" i="1" l="1"/>
  <c r="B171" i="1"/>
  <c r="B292" i="1"/>
  <c r="M291" i="1"/>
  <c r="B352" i="1"/>
  <c r="M351" i="1"/>
  <c r="M319" i="1"/>
  <c r="B320" i="1"/>
  <c r="B234" i="1"/>
  <c r="M233" i="1"/>
  <c r="M258" i="1"/>
  <c r="B259" i="1"/>
  <c r="M199" i="1"/>
  <c r="B200" i="1"/>
  <c r="B16" i="1"/>
  <c r="M15" i="1"/>
  <c r="B48" i="1"/>
  <c r="M47" i="1"/>
  <c r="B353" i="1" l="1"/>
  <c r="M352" i="1"/>
  <c r="B321" i="1"/>
  <c r="M320" i="1"/>
  <c r="B172" i="1"/>
  <c r="M171" i="1"/>
  <c r="B235" i="1"/>
  <c r="M234" i="1"/>
  <c r="B293" i="1"/>
  <c r="M292" i="1"/>
  <c r="B201" i="1"/>
  <c r="M200" i="1"/>
  <c r="M259" i="1"/>
  <c r="B260" i="1"/>
  <c r="B17" i="1"/>
  <c r="M16" i="1"/>
  <c r="B49" i="1"/>
  <c r="M48" i="1"/>
  <c r="B294" i="1" l="1"/>
  <c r="M293" i="1"/>
  <c r="M321" i="1"/>
  <c r="B322" i="1"/>
  <c r="B236" i="1"/>
  <c r="M235" i="1"/>
  <c r="B261" i="1"/>
  <c r="M260" i="1"/>
  <c r="M353" i="1"/>
  <c r="B354" i="1"/>
  <c r="M172" i="1"/>
  <c r="B173" i="1"/>
  <c r="B18" i="1"/>
  <c r="M17" i="1"/>
  <c r="B50" i="1"/>
  <c r="M49" i="1"/>
  <c r="M201" i="1"/>
  <c r="B202" i="1"/>
  <c r="B237" i="1" l="1"/>
  <c r="M236" i="1"/>
  <c r="B323" i="1"/>
  <c r="M322" i="1"/>
  <c r="M50" i="1"/>
  <c r="B51" i="1"/>
  <c r="M18" i="1"/>
  <c r="B19" i="1"/>
  <c r="B262" i="1"/>
  <c r="M261" i="1"/>
  <c r="B203" i="1"/>
  <c r="M202" i="1"/>
  <c r="B174" i="1"/>
  <c r="M173" i="1"/>
  <c r="B355" i="1"/>
  <c r="M354" i="1"/>
  <c r="B295" i="1"/>
  <c r="M294" i="1"/>
  <c r="B263" i="1" l="1"/>
  <c r="M262" i="1"/>
  <c r="M295" i="1"/>
  <c r="B296" i="1"/>
  <c r="B204" i="1"/>
  <c r="M203" i="1"/>
  <c r="B356" i="1"/>
  <c r="M355" i="1"/>
  <c r="B324" i="1"/>
  <c r="M323" i="1"/>
  <c r="B20" i="1"/>
  <c r="M19" i="1"/>
  <c r="B175" i="1"/>
  <c r="M174" i="1"/>
  <c r="M51" i="1"/>
  <c r="B52" i="1"/>
  <c r="M237" i="1"/>
  <c r="B238" i="1"/>
  <c r="M204" i="1" l="1"/>
  <c r="B205" i="1"/>
  <c r="B53" i="1"/>
  <c r="M52" i="1"/>
  <c r="M324" i="1"/>
  <c r="B325" i="1"/>
  <c r="M356" i="1"/>
  <c r="B357" i="1"/>
  <c r="M238" i="1"/>
  <c r="B239" i="1"/>
  <c r="B264" i="1"/>
  <c r="M263" i="1"/>
  <c r="B21" i="1"/>
  <c r="M20" i="1"/>
  <c r="M296" i="1"/>
  <c r="B297" i="1"/>
  <c r="M175" i="1"/>
  <c r="B176" i="1"/>
  <c r="B240" i="1" l="1"/>
  <c r="M239" i="1"/>
  <c r="B206" i="1"/>
  <c r="M205" i="1"/>
  <c r="B54" i="1"/>
  <c r="M53" i="1"/>
  <c r="B298" i="1"/>
  <c r="M297" i="1"/>
  <c r="B22" i="1"/>
  <c r="M21" i="1"/>
  <c r="B358" i="1"/>
  <c r="M357" i="1"/>
  <c r="B177" i="1"/>
  <c r="M176" i="1"/>
  <c r="B265" i="1"/>
  <c r="M264" i="1"/>
  <c r="B326" i="1"/>
  <c r="M325" i="1"/>
  <c r="M358" i="1" l="1"/>
  <c r="B359" i="1"/>
  <c r="M54" i="1"/>
  <c r="B55" i="1"/>
  <c r="M22" i="1"/>
  <c r="B23" i="1"/>
  <c r="M298" i="1"/>
  <c r="B299" i="1"/>
  <c r="B178" i="1"/>
  <c r="M177" i="1"/>
  <c r="M240" i="1"/>
  <c r="B241" i="1"/>
  <c r="B327" i="1"/>
  <c r="M326" i="1"/>
  <c r="B266" i="1"/>
  <c r="M265" i="1"/>
  <c r="B207" i="1"/>
  <c r="M206" i="1"/>
  <c r="B208" i="1" l="1"/>
  <c r="M207" i="1"/>
  <c r="B300" i="1"/>
  <c r="M299" i="1"/>
  <c r="B360" i="1"/>
  <c r="M359" i="1"/>
  <c r="B24" i="1"/>
  <c r="M23" i="1"/>
  <c r="B56" i="1"/>
  <c r="M55" i="1"/>
  <c r="M266" i="1"/>
  <c r="B267" i="1"/>
  <c r="M178" i="1"/>
  <c r="B179" i="1"/>
  <c r="M327" i="1"/>
  <c r="B328" i="1"/>
  <c r="B242" i="1"/>
  <c r="M241" i="1"/>
  <c r="B329" i="1" l="1"/>
  <c r="M328" i="1"/>
  <c r="B57" i="1"/>
  <c r="M56" i="1"/>
  <c r="B180" i="1"/>
  <c r="M179" i="1"/>
  <c r="B361" i="1"/>
  <c r="M360" i="1"/>
  <c r="B301" i="1"/>
  <c r="M300" i="1"/>
  <c r="B25" i="1"/>
  <c r="M24" i="1"/>
  <c r="M208" i="1"/>
  <c r="B209" i="1"/>
  <c r="B243" i="1"/>
  <c r="M242" i="1"/>
  <c r="M267" i="1"/>
  <c r="B268" i="1"/>
  <c r="B26" i="1" l="1"/>
  <c r="M25" i="1"/>
  <c r="B181" i="1"/>
  <c r="M180" i="1"/>
  <c r="B302" i="1"/>
  <c r="M301" i="1"/>
  <c r="B244" i="1"/>
  <c r="M243" i="1"/>
  <c r="M361" i="1"/>
  <c r="B362" i="1"/>
  <c r="B269" i="1"/>
  <c r="M268" i="1"/>
  <c r="B330" i="1"/>
  <c r="M329" i="1"/>
  <c r="B210" i="1"/>
  <c r="M209" i="1"/>
  <c r="B58" i="1"/>
  <c r="M57" i="1"/>
  <c r="B270" i="1" l="1"/>
  <c r="M269" i="1"/>
  <c r="B363" i="1"/>
  <c r="M362" i="1"/>
  <c r="M58" i="1"/>
  <c r="B59" i="1"/>
  <c r="B303" i="1"/>
  <c r="M302" i="1"/>
  <c r="B211" i="1"/>
  <c r="M210" i="1"/>
  <c r="B182" i="1"/>
  <c r="M181" i="1"/>
  <c r="B331" i="1"/>
  <c r="M330" i="1"/>
  <c r="B245" i="1"/>
  <c r="M244" i="1"/>
  <c r="M26" i="1"/>
  <c r="B27" i="1"/>
  <c r="B183" i="1" l="1"/>
  <c r="M182" i="1"/>
  <c r="M211" i="1"/>
  <c r="B212" i="1"/>
  <c r="M245" i="1"/>
  <c r="B246" i="1"/>
  <c r="B332" i="1"/>
  <c r="M331" i="1"/>
  <c r="M303" i="1"/>
  <c r="B304" i="1"/>
  <c r="B364" i="1"/>
  <c r="M363" i="1"/>
  <c r="B28" i="1"/>
  <c r="M27" i="1"/>
  <c r="M59" i="1"/>
  <c r="B60" i="1"/>
  <c r="B271" i="1"/>
  <c r="M270" i="1"/>
  <c r="M304" i="1" l="1"/>
  <c r="B305" i="1"/>
  <c r="B213" i="1"/>
  <c r="M212" i="1"/>
  <c r="B29" i="1"/>
  <c r="M28" i="1"/>
  <c r="B61" i="1"/>
  <c r="M60" i="1"/>
  <c r="M183" i="1"/>
  <c r="B184" i="1"/>
  <c r="M332" i="1"/>
  <c r="B333" i="1"/>
  <c r="B272" i="1"/>
  <c r="M271" i="1"/>
  <c r="M364" i="1"/>
  <c r="B365" i="1"/>
  <c r="M246" i="1"/>
  <c r="B30" i="1" l="1"/>
  <c r="M29" i="1"/>
  <c r="B306" i="1"/>
  <c r="M305" i="1"/>
  <c r="B366" i="1"/>
  <c r="M365" i="1"/>
  <c r="M213" i="1"/>
  <c r="B214" i="1"/>
  <c r="B273" i="1"/>
  <c r="M272" i="1"/>
  <c r="B185" i="1"/>
  <c r="M184" i="1"/>
  <c r="B334" i="1"/>
  <c r="M333" i="1"/>
  <c r="B62" i="1"/>
  <c r="M61" i="1"/>
  <c r="B186" i="1" l="1"/>
  <c r="M185" i="1"/>
  <c r="B367" i="1"/>
  <c r="M366" i="1"/>
  <c r="B215" i="1"/>
  <c r="M214" i="1"/>
  <c r="M62" i="1"/>
  <c r="B63" i="1"/>
  <c r="B274" i="1"/>
  <c r="M273" i="1"/>
  <c r="M306" i="1"/>
  <c r="B307" i="1"/>
  <c r="B335" i="1"/>
  <c r="M334" i="1"/>
  <c r="M30" i="1"/>
  <c r="B31" i="1"/>
  <c r="B32" i="1" l="1"/>
  <c r="M31" i="1"/>
  <c r="B216" i="1"/>
  <c r="M215" i="1"/>
  <c r="B368" i="1"/>
  <c r="M367" i="1"/>
  <c r="M307" i="1"/>
  <c r="M186" i="1"/>
  <c r="B187" i="1"/>
  <c r="M274" i="1"/>
  <c r="B275" i="1"/>
  <c r="M335" i="1"/>
  <c r="B336" i="1"/>
  <c r="B64" i="1"/>
  <c r="M63" i="1"/>
  <c r="B33" i="1" l="1"/>
  <c r="M32" i="1"/>
  <c r="M275" i="1"/>
  <c r="B276" i="1"/>
  <c r="B65" i="1"/>
  <c r="M64" i="1"/>
  <c r="M216" i="1"/>
  <c r="B217" i="1"/>
  <c r="M368" i="1"/>
  <c r="M187" i="1"/>
  <c r="B337" i="1"/>
  <c r="M336" i="1"/>
  <c r="B277" i="1" l="1"/>
  <c r="M276" i="1"/>
  <c r="B218" i="1"/>
  <c r="M217" i="1"/>
  <c r="M337" i="1"/>
  <c r="B338" i="1"/>
  <c r="B34" i="1"/>
  <c r="M34" i="1" s="1"/>
  <c r="M33" i="1"/>
  <c r="M65" i="1"/>
  <c r="M338" i="1" l="1"/>
  <c r="M218" i="1"/>
  <c r="M27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tc={298E9D3C-086E-461F-99D6-4A23F19DFFEB}</author>
  </authors>
  <commentList>
    <comment ref="G117" authorId="0" shapeId="0" xr:uid="{298E9D3C-086E-461F-99D6-4A23F19DFF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Utilizei o valor da Cortex/Gráfico individual do inversor</t>
      </text>
    </comment>
  </commentList>
</comments>
</file>

<file path=xl/sharedStrings.xml><?xml version="1.0" encoding="utf-8"?>
<sst xmlns="http://schemas.openxmlformats.org/spreadsheetml/2006/main" count="14" uniqueCount="13">
  <si>
    <t>UFV Pôr do Sol - Geração</t>
  </si>
  <si>
    <t>UFV Pôr do Sol - Irradiação</t>
  </si>
  <si>
    <t>Data</t>
  </si>
  <si>
    <t>Inversor 1</t>
  </si>
  <si>
    <t>Inversor 2</t>
  </si>
  <si>
    <t>Inversor 3</t>
  </si>
  <si>
    <t>Inversor 4</t>
  </si>
  <si>
    <t>Inversor 5</t>
  </si>
  <si>
    <t>Inversor 6</t>
  </si>
  <si>
    <t>Inversor 7</t>
  </si>
  <si>
    <t>Inversor 8</t>
  </si>
  <si>
    <t>Total</t>
  </si>
  <si>
    <t>Irradiação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</si>
</sst>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4" fontId="2" fillId="0" borderId="7" xfId="0" applyNumberFormat="1" applyFont="1" applyBorder="1"/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 vertical="center" readingOrder="1"/>
    </xf>
    <xf numFmtId="17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4" fontId="2" fillId="0" borderId="16" xfId="0" applyNumberFormat="1" applyFont="1" applyBorder="1" applyAlignment="1">
      <alignment horizontal="center"/>
    </xf>
    <xf numFmtId="2" fontId="3" fillId="0" borderId="16" xfId="0" applyNumberFormat="1" applyFont="1" applyBorder="1" applyAlignment="1">
      <alignment horizontal="center" vertical="center" readingOrder="1"/>
    </xf>
    <xf numFmtId="43" fontId="0" fillId="0" borderId="0" xfId="0" applyNumberFormat="1" applyAlignment="1">
      <alignment horizontal="center"/>
    </xf>
    <xf numFmtId="164" fontId="0" fillId="0" borderId="17" xfId="0" applyNumberFormat="1" applyBorder="1" applyAlignment="1">
      <alignment horizontal="center"/>
    </xf>
    <xf numFmtId="0" fontId="4" fillId="0" borderId="0" xfId="0" applyFont="1" applyAlignment="1">
      <alignment vertical="center" readingOrder="1"/>
    </xf>
    <xf numFmtId="2" fontId="0" fillId="0" borderId="16" xfId="0" applyNumberFormat="1" applyBorder="1" applyAlignment="1">
      <alignment horizontal="center"/>
    </xf>
    <xf numFmtId="164" fontId="5" fillId="3" borderId="14" xfId="0" applyNumberFormat="1" applyFont="1" applyFill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0" fillId="0" borderId="16" xfId="1" applyNumberFormat="1" applyFon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0" fillId="0" borderId="21" xfId="1" applyNumberFormat="1" applyFont="1" applyBorder="1" applyAlignment="1">
      <alignment horizontal="center"/>
    </xf>
    <xf numFmtId="14" fontId="2" fillId="0" borderId="21" xfId="0" applyNumberFormat="1" applyFont="1" applyBorder="1" applyAlignment="1">
      <alignment horizontal="center"/>
    </xf>
    <xf numFmtId="2" fontId="0" fillId="0" borderId="21" xfId="0" applyNumberFormat="1" applyBorder="1" applyAlignment="1">
      <alignment horizontal="center"/>
    </xf>
  </cellXfs>
  <cellStyles count="2">
    <cellStyle name="Normal" xfId="0" builtinId="0"/>
    <cellStyle name="Vírgula" xfId="1" builtinId="3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ão Pedro Cardoso Finamore Ivo" id="{F1B07B30-896C-4D82-831F-E9FE0791033C}" userId="S::joao.ivo@grupoorion.com.br::f0e11406-d742-4e20-8822-c9a6f476828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17" dT="2025-11-03T13:49:30.04" personId="{F1B07B30-896C-4D82-831F-E9FE0791033C}" id="{298E9D3C-086E-461F-99D6-4A23F19DFFEB}">
    <text>Utilizei o valor da Cortex/Gráfico individual do inversor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27D6-979B-4414-B49E-7190A34851C9}">
  <dimension ref="B1:T403"/>
  <sheetViews>
    <sheetView tabSelected="1" workbookViewId="0">
      <selection activeCell="V13" sqref="V13"/>
    </sheetView>
  </sheetViews>
  <sheetFormatPr defaultRowHeight="14.4" x14ac:dyDescent="0.3"/>
  <cols>
    <col min="2" max="2" width="13.109375" customWidth="1"/>
    <col min="11" max="11" width="10.33203125" bestFit="1" customWidth="1"/>
    <col min="13" max="13" width="10.77734375" customWidth="1"/>
    <col min="14" max="14" width="21.109375" customWidth="1"/>
  </cols>
  <sheetData>
    <row r="1" spans="2:20" ht="15" thickBot="1" x14ac:dyDescent="0.35"/>
    <row r="2" spans="2:20" ht="15" thickBot="1" x14ac:dyDescent="0.3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  <c r="M2" s="1" t="s">
        <v>1</v>
      </c>
      <c r="N2" s="3"/>
    </row>
    <row r="3" spans="2:20" ht="15" thickBot="1" x14ac:dyDescent="0.35"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4" t="s">
        <v>11</v>
      </c>
      <c r="M3" s="6" t="s">
        <v>2</v>
      </c>
      <c r="N3" s="6" t="s">
        <v>12</v>
      </c>
    </row>
    <row r="4" spans="2:20" x14ac:dyDescent="0.3">
      <c r="B4" s="7">
        <v>45839</v>
      </c>
      <c r="C4" s="8">
        <v>1552.6</v>
      </c>
      <c r="D4" s="9">
        <v>1572.7</v>
      </c>
      <c r="E4" s="9">
        <v>1565.9</v>
      </c>
      <c r="F4" s="9">
        <v>1593.5</v>
      </c>
      <c r="G4" s="9">
        <v>1595.7</v>
      </c>
      <c r="H4" s="9">
        <v>1600</v>
      </c>
      <c r="I4" s="9">
        <v>1625.8</v>
      </c>
      <c r="J4" s="10">
        <v>1610.1</v>
      </c>
      <c r="K4" s="11">
        <f t="shared" ref="K4:K67" si="0">SUM(C4:J4)</f>
        <v>12716.300000000001</v>
      </c>
      <c r="M4" s="12">
        <f>B4</f>
        <v>45839</v>
      </c>
      <c r="N4" s="13">
        <v>5.42</v>
      </c>
      <c r="P4" s="14"/>
      <c r="Q4" s="15"/>
      <c r="R4" s="16"/>
      <c r="T4" s="17"/>
    </row>
    <row r="5" spans="2:20" x14ac:dyDescent="0.3">
      <c r="B5" s="7">
        <f>B4+1</f>
        <v>45840</v>
      </c>
      <c r="C5" s="18">
        <v>1530.7</v>
      </c>
      <c r="D5" s="19">
        <v>1555.3</v>
      </c>
      <c r="E5" s="19">
        <v>1551.9</v>
      </c>
      <c r="F5" s="19">
        <v>1575.5</v>
      </c>
      <c r="G5" s="19">
        <v>1577.8</v>
      </c>
      <c r="H5" s="19">
        <v>1580.4</v>
      </c>
      <c r="I5" s="19">
        <v>1606.7</v>
      </c>
      <c r="J5" s="20">
        <v>1590.4</v>
      </c>
      <c r="K5" s="11">
        <f t="shared" si="0"/>
        <v>12568.7</v>
      </c>
      <c r="M5" s="21">
        <f t="shared" ref="M5:M68" si="1">B5</f>
        <v>45840</v>
      </c>
      <c r="N5" s="22">
        <v>5.4</v>
      </c>
      <c r="P5" s="14"/>
      <c r="Q5" s="16"/>
      <c r="R5" s="16"/>
      <c r="T5" s="17"/>
    </row>
    <row r="6" spans="2:20" x14ac:dyDescent="0.3">
      <c r="B6" s="7">
        <f t="shared" ref="B6:B34" si="2">B5+1</f>
        <v>45841</v>
      </c>
      <c r="C6" s="18">
        <v>1458.4</v>
      </c>
      <c r="D6" s="19">
        <v>1481.3</v>
      </c>
      <c r="E6" s="19">
        <v>1476.5</v>
      </c>
      <c r="F6" s="19">
        <v>1502.2</v>
      </c>
      <c r="G6" s="19">
        <v>1504.6</v>
      </c>
      <c r="H6" s="19">
        <v>1506.9</v>
      </c>
      <c r="I6" s="19">
        <v>1532.4</v>
      </c>
      <c r="J6" s="20">
        <v>1516</v>
      </c>
      <c r="K6" s="11">
        <f t="shared" si="0"/>
        <v>11978.3</v>
      </c>
      <c r="M6" s="21">
        <f t="shared" si="1"/>
        <v>45841</v>
      </c>
      <c r="N6" s="22">
        <v>5.48</v>
      </c>
      <c r="P6" s="14"/>
      <c r="Q6" s="16"/>
      <c r="R6" s="16"/>
      <c r="T6" s="17"/>
    </row>
    <row r="7" spans="2:20" x14ac:dyDescent="0.3">
      <c r="B7" s="7">
        <f t="shared" si="2"/>
        <v>45842</v>
      </c>
      <c r="C7" s="18">
        <v>1551.8</v>
      </c>
      <c r="D7" s="19">
        <v>1578.8</v>
      </c>
      <c r="E7" s="19">
        <v>1574.8</v>
      </c>
      <c r="F7" s="19">
        <v>1603.7</v>
      </c>
      <c r="G7" s="19">
        <v>1604.6</v>
      </c>
      <c r="H7" s="19">
        <v>1609.4</v>
      </c>
      <c r="I7" s="19">
        <v>1636.2</v>
      </c>
      <c r="J7" s="20">
        <v>1619</v>
      </c>
      <c r="K7" s="11">
        <f t="shared" si="0"/>
        <v>12778.3</v>
      </c>
      <c r="M7" s="21">
        <f t="shared" si="1"/>
        <v>45842</v>
      </c>
      <c r="N7" s="22">
        <v>5.5</v>
      </c>
      <c r="P7" s="14"/>
      <c r="Q7" s="16"/>
      <c r="R7" s="16"/>
      <c r="T7" s="17"/>
    </row>
    <row r="8" spans="2:20" x14ac:dyDescent="0.3">
      <c r="B8" s="7">
        <f t="shared" si="2"/>
        <v>45843</v>
      </c>
      <c r="C8" s="18">
        <v>1331.9</v>
      </c>
      <c r="D8" s="19">
        <v>1343.6</v>
      </c>
      <c r="E8" s="19">
        <v>1332.3</v>
      </c>
      <c r="F8" s="19">
        <v>1353.3</v>
      </c>
      <c r="G8" s="19">
        <v>1352</v>
      </c>
      <c r="H8" s="19">
        <v>1357.9</v>
      </c>
      <c r="I8" s="19">
        <v>1374.5</v>
      </c>
      <c r="J8" s="20">
        <v>1361.3</v>
      </c>
      <c r="K8" s="11">
        <f t="shared" si="0"/>
        <v>10806.8</v>
      </c>
      <c r="M8" s="21">
        <f t="shared" si="1"/>
        <v>45843</v>
      </c>
      <c r="N8" s="22">
        <v>5.28</v>
      </c>
      <c r="P8" s="14"/>
      <c r="Q8" s="16"/>
      <c r="R8" s="16"/>
      <c r="T8" s="17"/>
    </row>
    <row r="9" spans="2:20" x14ac:dyDescent="0.3">
      <c r="B9" s="7">
        <f t="shared" si="2"/>
        <v>45844</v>
      </c>
      <c r="C9" s="18">
        <v>1465.9</v>
      </c>
      <c r="D9" s="19">
        <v>1491</v>
      </c>
      <c r="E9" s="19">
        <v>1492.9</v>
      </c>
      <c r="F9" s="19">
        <v>1524.5</v>
      </c>
      <c r="G9" s="19">
        <v>1526.9</v>
      </c>
      <c r="H9" s="19">
        <v>1529.9</v>
      </c>
      <c r="I9" s="19">
        <v>1555.5</v>
      </c>
      <c r="J9" s="20">
        <v>1539.1</v>
      </c>
      <c r="K9" s="11">
        <f t="shared" si="0"/>
        <v>12125.7</v>
      </c>
      <c r="M9" s="21">
        <f t="shared" si="1"/>
        <v>45844</v>
      </c>
      <c r="N9" s="22">
        <v>5.36</v>
      </c>
      <c r="P9" s="14"/>
      <c r="Q9" s="16"/>
      <c r="R9" s="16"/>
      <c r="T9" s="17"/>
    </row>
    <row r="10" spans="2:20" x14ac:dyDescent="0.3">
      <c r="B10" s="7">
        <f t="shared" si="2"/>
        <v>45845</v>
      </c>
      <c r="C10" s="18">
        <v>1536.2</v>
      </c>
      <c r="D10" s="19">
        <v>1566.5</v>
      </c>
      <c r="E10" s="19">
        <v>1562.9</v>
      </c>
      <c r="F10" s="19">
        <v>1593.2</v>
      </c>
      <c r="G10" s="19">
        <v>1595.4</v>
      </c>
      <c r="H10" s="19">
        <v>1598.1</v>
      </c>
      <c r="I10" s="19">
        <v>1625.8</v>
      </c>
      <c r="J10" s="20">
        <v>1610.7</v>
      </c>
      <c r="K10" s="11">
        <f t="shared" si="0"/>
        <v>12688.800000000001</v>
      </c>
      <c r="M10" s="21">
        <f t="shared" si="1"/>
        <v>45845</v>
      </c>
      <c r="N10" s="22">
        <v>5.36</v>
      </c>
      <c r="P10" s="14"/>
      <c r="Q10" s="16"/>
      <c r="R10" s="16"/>
      <c r="T10" s="17"/>
    </row>
    <row r="11" spans="2:20" x14ac:dyDescent="0.3">
      <c r="B11" s="7">
        <f t="shared" si="2"/>
        <v>45846</v>
      </c>
      <c r="C11" s="18">
        <v>1401.8</v>
      </c>
      <c r="D11" s="19">
        <v>1430.9</v>
      </c>
      <c r="E11" s="19">
        <v>1430.3</v>
      </c>
      <c r="F11" s="19">
        <v>1449.3</v>
      </c>
      <c r="G11" s="19">
        <v>1446.4</v>
      </c>
      <c r="H11" s="19">
        <v>1441.4</v>
      </c>
      <c r="I11" s="19">
        <v>1457.2</v>
      </c>
      <c r="J11" s="20">
        <v>1437.4</v>
      </c>
      <c r="K11" s="11">
        <f t="shared" si="0"/>
        <v>11494.7</v>
      </c>
      <c r="M11" s="21">
        <f t="shared" si="1"/>
        <v>45846</v>
      </c>
      <c r="N11" s="22">
        <v>5.0199999999999996</v>
      </c>
      <c r="P11" s="14"/>
      <c r="Q11" s="16"/>
      <c r="R11" s="16"/>
      <c r="T11" s="17"/>
    </row>
    <row r="12" spans="2:20" x14ac:dyDescent="0.3">
      <c r="B12" s="7">
        <f t="shared" si="2"/>
        <v>45847</v>
      </c>
      <c r="C12" s="18">
        <v>1508</v>
      </c>
      <c r="D12" s="19">
        <v>1548.8</v>
      </c>
      <c r="E12" s="19">
        <v>1554.4</v>
      </c>
      <c r="F12" s="19">
        <v>1587.1</v>
      </c>
      <c r="G12" s="19">
        <v>1592</v>
      </c>
      <c r="H12" s="19">
        <v>1597.3</v>
      </c>
      <c r="I12" s="19">
        <v>1621.6</v>
      </c>
      <c r="J12" s="20">
        <v>1606.8</v>
      </c>
      <c r="K12" s="11">
        <f t="shared" si="0"/>
        <v>12616</v>
      </c>
      <c r="M12" s="21">
        <f t="shared" si="1"/>
        <v>45847</v>
      </c>
      <c r="N12" s="22">
        <v>4.96</v>
      </c>
      <c r="P12" s="14"/>
      <c r="Q12" s="16"/>
      <c r="R12" s="16"/>
      <c r="T12" s="17"/>
    </row>
    <row r="13" spans="2:20" x14ac:dyDescent="0.3">
      <c r="B13" s="7">
        <f t="shared" si="2"/>
        <v>45848</v>
      </c>
      <c r="C13" s="18">
        <v>1306.5</v>
      </c>
      <c r="D13" s="19">
        <v>1337.4</v>
      </c>
      <c r="E13" s="19">
        <v>1333.1</v>
      </c>
      <c r="F13" s="19">
        <v>1357.1</v>
      </c>
      <c r="G13" s="19">
        <v>1356.1</v>
      </c>
      <c r="H13" s="19">
        <v>1356.7</v>
      </c>
      <c r="I13" s="19">
        <v>1379.4</v>
      </c>
      <c r="J13" s="20">
        <v>1372.2</v>
      </c>
      <c r="K13" s="11">
        <f t="shared" si="0"/>
        <v>10798.500000000002</v>
      </c>
      <c r="M13" s="21">
        <f t="shared" si="1"/>
        <v>45848</v>
      </c>
      <c r="N13" s="22">
        <v>4.79</v>
      </c>
      <c r="P13" s="14"/>
      <c r="Q13" s="16"/>
      <c r="R13" s="16"/>
      <c r="T13" s="17"/>
    </row>
    <row r="14" spans="2:20" x14ac:dyDescent="0.3">
      <c r="B14" s="7">
        <f t="shared" si="2"/>
        <v>45849</v>
      </c>
      <c r="C14" s="18">
        <v>970</v>
      </c>
      <c r="D14" s="19">
        <v>990</v>
      </c>
      <c r="E14" s="19">
        <v>990</v>
      </c>
      <c r="F14" s="19">
        <v>1000</v>
      </c>
      <c r="G14" s="19">
        <v>1000</v>
      </c>
      <c r="H14" s="19">
        <v>1000</v>
      </c>
      <c r="I14" s="19">
        <v>1010</v>
      </c>
      <c r="J14" s="20">
        <v>1000</v>
      </c>
      <c r="K14" s="11">
        <f t="shared" si="0"/>
        <v>7960</v>
      </c>
      <c r="M14" s="21">
        <f t="shared" si="1"/>
        <v>45849</v>
      </c>
      <c r="N14" s="22">
        <v>3.45</v>
      </c>
      <c r="P14" s="14"/>
      <c r="Q14" s="16"/>
      <c r="R14" s="16"/>
      <c r="T14" s="17"/>
    </row>
    <row r="15" spans="2:20" x14ac:dyDescent="0.3">
      <c r="B15" s="7">
        <f t="shared" si="2"/>
        <v>45850</v>
      </c>
      <c r="C15" s="18">
        <v>1228.2</v>
      </c>
      <c r="D15" s="19">
        <v>1266.4000000000001</v>
      </c>
      <c r="E15" s="19">
        <v>1281</v>
      </c>
      <c r="F15" s="19">
        <v>1304.3</v>
      </c>
      <c r="G15" s="19">
        <v>1303.5999999999999</v>
      </c>
      <c r="H15" s="19">
        <v>1298.9000000000001</v>
      </c>
      <c r="I15" s="19">
        <v>1308.7</v>
      </c>
      <c r="J15" s="20">
        <v>1293.4000000000001</v>
      </c>
      <c r="K15" s="11">
        <f t="shared" si="0"/>
        <v>10284.5</v>
      </c>
      <c r="M15" s="21">
        <f t="shared" si="1"/>
        <v>45850</v>
      </c>
      <c r="N15" s="22">
        <v>4.49</v>
      </c>
      <c r="P15" s="14"/>
      <c r="Q15" s="16"/>
      <c r="R15" s="16"/>
      <c r="T15" s="17"/>
    </row>
    <row r="16" spans="2:20" x14ac:dyDescent="0.3">
      <c r="B16" s="7">
        <f t="shared" si="2"/>
        <v>45851</v>
      </c>
      <c r="C16" s="18">
        <v>1373.7</v>
      </c>
      <c r="D16" s="19">
        <v>1396.7</v>
      </c>
      <c r="E16" s="19">
        <v>1397.1</v>
      </c>
      <c r="F16" s="19">
        <v>1416.6</v>
      </c>
      <c r="G16" s="19">
        <v>1415.7</v>
      </c>
      <c r="H16" s="19">
        <v>1413.9</v>
      </c>
      <c r="I16" s="19">
        <v>1424.9</v>
      </c>
      <c r="J16" s="20">
        <v>1411.3</v>
      </c>
      <c r="K16" s="11">
        <f t="shared" si="0"/>
        <v>11249.9</v>
      </c>
      <c r="M16" s="21">
        <f t="shared" si="1"/>
        <v>45851</v>
      </c>
      <c r="N16" s="22">
        <v>5.03</v>
      </c>
      <c r="P16" s="14"/>
      <c r="Q16" s="23"/>
      <c r="R16" s="16"/>
    </row>
    <row r="17" spans="2:14" x14ac:dyDescent="0.3">
      <c r="B17" s="7">
        <f t="shared" si="2"/>
        <v>45852</v>
      </c>
      <c r="C17" s="18">
        <v>1011.4</v>
      </c>
      <c r="D17" s="19">
        <v>1035.8</v>
      </c>
      <c r="E17" s="19">
        <v>1039.8</v>
      </c>
      <c r="F17" s="19">
        <v>1048.8</v>
      </c>
      <c r="G17" s="19">
        <v>1057.4000000000001</v>
      </c>
      <c r="H17" s="19">
        <v>1061.7</v>
      </c>
      <c r="I17" s="19">
        <v>1070.5</v>
      </c>
      <c r="J17" s="20">
        <v>1059.4000000000001</v>
      </c>
      <c r="K17" s="11">
        <f t="shared" si="0"/>
        <v>8384.8000000000011</v>
      </c>
      <c r="M17" s="21">
        <f t="shared" si="1"/>
        <v>45852</v>
      </c>
      <c r="N17" s="22">
        <v>3.74</v>
      </c>
    </row>
    <row r="18" spans="2:14" x14ac:dyDescent="0.3">
      <c r="B18" s="7">
        <f t="shared" si="2"/>
        <v>45853</v>
      </c>
      <c r="C18" s="18">
        <v>1415.2</v>
      </c>
      <c r="D18" s="19">
        <v>1455.7</v>
      </c>
      <c r="E18" s="19">
        <v>1462.8</v>
      </c>
      <c r="F18" s="19">
        <v>1495.2</v>
      </c>
      <c r="G18" s="19">
        <v>1492.7</v>
      </c>
      <c r="H18" s="19">
        <v>1486.4</v>
      </c>
      <c r="I18" s="19">
        <v>1506.8</v>
      </c>
      <c r="J18" s="20">
        <v>1496.2</v>
      </c>
      <c r="K18" s="11">
        <f t="shared" si="0"/>
        <v>11811</v>
      </c>
      <c r="M18" s="21">
        <f t="shared" si="1"/>
        <v>45853</v>
      </c>
      <c r="N18" s="22">
        <v>4.75</v>
      </c>
    </row>
    <row r="19" spans="2:14" x14ac:dyDescent="0.3">
      <c r="B19" s="7">
        <f t="shared" si="2"/>
        <v>45854</v>
      </c>
      <c r="C19" s="18">
        <v>1498.2</v>
      </c>
      <c r="D19" s="19">
        <v>1540.5</v>
      </c>
      <c r="E19" s="19">
        <v>1544.2</v>
      </c>
      <c r="F19" s="19">
        <v>1575.7</v>
      </c>
      <c r="G19" s="19">
        <v>1579.9</v>
      </c>
      <c r="H19" s="19">
        <v>1581.5</v>
      </c>
      <c r="I19" s="19">
        <v>1607</v>
      </c>
      <c r="J19" s="20">
        <v>1594.4</v>
      </c>
      <c r="K19" s="11">
        <f t="shared" si="0"/>
        <v>12521.4</v>
      </c>
      <c r="M19" s="21">
        <f t="shared" si="1"/>
        <v>45854</v>
      </c>
      <c r="N19" s="22">
        <v>5.62</v>
      </c>
    </row>
    <row r="20" spans="2:14" x14ac:dyDescent="0.3">
      <c r="B20" s="7">
        <f t="shared" si="2"/>
        <v>45855</v>
      </c>
      <c r="C20" s="18">
        <v>1577.1</v>
      </c>
      <c r="D20" s="19">
        <v>1644</v>
      </c>
      <c r="E20" s="19">
        <v>1688.7</v>
      </c>
      <c r="F20" s="19">
        <v>1655.8</v>
      </c>
      <c r="G20" s="19">
        <v>1710.5</v>
      </c>
      <c r="H20" s="19">
        <v>1750.2</v>
      </c>
      <c r="I20" s="19">
        <v>1467.1</v>
      </c>
      <c r="J20" s="20">
        <v>1754.2</v>
      </c>
      <c r="K20" s="11">
        <f t="shared" si="0"/>
        <v>13247.600000000002</v>
      </c>
      <c r="M20" s="21">
        <f t="shared" si="1"/>
        <v>45855</v>
      </c>
      <c r="N20" s="22">
        <v>5.53</v>
      </c>
    </row>
    <row r="21" spans="2:14" x14ac:dyDescent="0.3">
      <c r="B21" s="7">
        <f t="shared" si="2"/>
        <v>45856</v>
      </c>
      <c r="C21" s="18">
        <v>1718.4</v>
      </c>
      <c r="D21" s="19">
        <v>1841.1</v>
      </c>
      <c r="E21" s="19">
        <v>1830.8</v>
      </c>
      <c r="F21" s="19">
        <v>1878.1</v>
      </c>
      <c r="G21" s="19">
        <v>1867</v>
      </c>
      <c r="H21" s="19">
        <v>1878.8</v>
      </c>
      <c r="I21" s="19">
        <v>1897.4</v>
      </c>
      <c r="J21" s="20">
        <v>1894.8</v>
      </c>
      <c r="K21" s="11">
        <f t="shared" si="0"/>
        <v>14806.399999999998</v>
      </c>
      <c r="M21" s="21">
        <f t="shared" si="1"/>
        <v>45856</v>
      </c>
      <c r="N21" s="22">
        <v>5.39</v>
      </c>
    </row>
    <row r="22" spans="2:14" x14ac:dyDescent="0.3">
      <c r="B22" s="7">
        <f t="shared" si="2"/>
        <v>45857</v>
      </c>
      <c r="C22" s="18">
        <v>1887.1</v>
      </c>
      <c r="D22" s="19">
        <v>1880.3</v>
      </c>
      <c r="E22" s="19">
        <v>1920.5</v>
      </c>
      <c r="F22" s="19">
        <v>1966.2</v>
      </c>
      <c r="G22" s="19">
        <v>1953.8</v>
      </c>
      <c r="H22" s="19">
        <v>1967</v>
      </c>
      <c r="I22" s="19">
        <v>1989.2</v>
      </c>
      <c r="J22" s="20">
        <v>1982.6</v>
      </c>
      <c r="K22" s="11">
        <f t="shared" si="0"/>
        <v>15546.7</v>
      </c>
      <c r="M22" s="21">
        <f t="shared" si="1"/>
        <v>45857</v>
      </c>
      <c r="N22" s="22">
        <v>5.6</v>
      </c>
    </row>
    <row r="23" spans="2:14" x14ac:dyDescent="0.3">
      <c r="B23" s="7">
        <f t="shared" si="2"/>
        <v>45858</v>
      </c>
      <c r="C23" s="18">
        <v>1865.9</v>
      </c>
      <c r="D23" s="19">
        <v>1910.6</v>
      </c>
      <c r="E23" s="19">
        <v>1900</v>
      </c>
      <c r="F23" s="19">
        <v>1823.4</v>
      </c>
      <c r="G23" s="19">
        <v>1934.6</v>
      </c>
      <c r="H23" s="19">
        <v>1948.2</v>
      </c>
      <c r="I23" s="19">
        <v>1969.9</v>
      </c>
      <c r="J23" s="20">
        <v>1963.9</v>
      </c>
      <c r="K23" s="11">
        <f t="shared" si="0"/>
        <v>15316.5</v>
      </c>
      <c r="M23" s="21">
        <f t="shared" si="1"/>
        <v>45858</v>
      </c>
      <c r="N23" s="22">
        <v>5.57</v>
      </c>
    </row>
    <row r="24" spans="2:14" x14ac:dyDescent="0.3">
      <c r="B24" s="7">
        <f t="shared" si="2"/>
        <v>45859</v>
      </c>
      <c r="C24" s="18">
        <v>1610</v>
      </c>
      <c r="D24" s="19">
        <v>1550.6</v>
      </c>
      <c r="E24" s="19">
        <v>1640.6</v>
      </c>
      <c r="F24" s="19">
        <v>1679.6</v>
      </c>
      <c r="G24" s="19">
        <v>1664.5</v>
      </c>
      <c r="H24" s="19">
        <v>1676.4</v>
      </c>
      <c r="I24" s="19">
        <v>1571.1</v>
      </c>
      <c r="J24" s="20">
        <v>1696.6</v>
      </c>
      <c r="K24" s="11">
        <f t="shared" si="0"/>
        <v>13089.4</v>
      </c>
      <c r="M24" s="21">
        <f t="shared" si="1"/>
        <v>45859</v>
      </c>
      <c r="N24" s="22">
        <v>5.61</v>
      </c>
    </row>
    <row r="25" spans="2:14" x14ac:dyDescent="0.3">
      <c r="B25" s="7">
        <f t="shared" si="2"/>
        <v>45860</v>
      </c>
      <c r="C25" s="18">
        <v>1647.9</v>
      </c>
      <c r="D25" s="19">
        <v>1589.2</v>
      </c>
      <c r="E25" s="19">
        <v>1696.8</v>
      </c>
      <c r="F25" s="19">
        <v>1734</v>
      </c>
      <c r="G25" s="19">
        <v>1670</v>
      </c>
      <c r="H25" s="19">
        <v>1704</v>
      </c>
      <c r="I25" s="19">
        <v>1566.8</v>
      </c>
      <c r="J25" s="20">
        <v>1701.2</v>
      </c>
      <c r="K25" s="11">
        <f t="shared" si="0"/>
        <v>13309.900000000001</v>
      </c>
      <c r="M25" s="21">
        <f t="shared" si="1"/>
        <v>45860</v>
      </c>
      <c r="N25" s="22">
        <v>5.55</v>
      </c>
    </row>
    <row r="26" spans="2:14" x14ac:dyDescent="0.3">
      <c r="B26" s="7">
        <f t="shared" si="2"/>
        <v>45861</v>
      </c>
      <c r="C26" s="18">
        <v>1713.6</v>
      </c>
      <c r="D26" s="19">
        <v>1801.3</v>
      </c>
      <c r="E26" s="19">
        <v>1816.2</v>
      </c>
      <c r="F26" s="19">
        <v>1823.1</v>
      </c>
      <c r="G26" s="19">
        <v>1691.1</v>
      </c>
      <c r="H26" s="19">
        <v>1767.8</v>
      </c>
      <c r="I26" s="19">
        <v>1790.6</v>
      </c>
      <c r="J26" s="20">
        <v>1768</v>
      </c>
      <c r="K26" s="11">
        <f t="shared" si="0"/>
        <v>14171.699999999999</v>
      </c>
      <c r="M26" s="21">
        <f t="shared" si="1"/>
        <v>45861</v>
      </c>
      <c r="N26" s="22">
        <v>5.0599999999999996</v>
      </c>
    </row>
    <row r="27" spans="2:14" x14ac:dyDescent="0.3">
      <c r="B27" s="7">
        <f t="shared" si="2"/>
        <v>45862</v>
      </c>
      <c r="C27" s="18">
        <v>1851.4</v>
      </c>
      <c r="D27" s="19">
        <v>1931.2</v>
      </c>
      <c r="E27" s="19">
        <v>1923.3</v>
      </c>
      <c r="F27" s="19">
        <v>1899.8</v>
      </c>
      <c r="G27" s="19">
        <v>1766.9</v>
      </c>
      <c r="H27" s="19">
        <v>1860.4</v>
      </c>
      <c r="I27" s="19">
        <v>1884.5</v>
      </c>
      <c r="J27" s="20">
        <v>1863.6</v>
      </c>
      <c r="K27" s="11">
        <f t="shared" si="0"/>
        <v>14981.1</v>
      </c>
      <c r="M27" s="21">
        <f t="shared" si="1"/>
        <v>45862</v>
      </c>
      <c r="N27" s="22">
        <v>5.62</v>
      </c>
    </row>
    <row r="28" spans="2:14" x14ac:dyDescent="0.3">
      <c r="B28" s="7">
        <f t="shared" si="2"/>
        <v>45863</v>
      </c>
      <c r="C28" s="18">
        <v>1815.3</v>
      </c>
      <c r="D28" s="19">
        <v>1851.5</v>
      </c>
      <c r="E28" s="19">
        <v>1834.1</v>
      </c>
      <c r="F28" s="19">
        <v>1871.4</v>
      </c>
      <c r="G28" s="19">
        <v>1771.8</v>
      </c>
      <c r="H28" s="19">
        <v>1803.7</v>
      </c>
      <c r="I28" s="19">
        <v>1844.3</v>
      </c>
      <c r="J28" s="20">
        <v>1837.5</v>
      </c>
      <c r="K28" s="11">
        <f t="shared" si="0"/>
        <v>14629.599999999999</v>
      </c>
      <c r="M28" s="21">
        <f t="shared" si="1"/>
        <v>45863</v>
      </c>
      <c r="N28" s="22">
        <v>5.63</v>
      </c>
    </row>
    <row r="29" spans="2:14" x14ac:dyDescent="0.3">
      <c r="B29" s="7">
        <f t="shared" si="2"/>
        <v>45864</v>
      </c>
      <c r="C29" s="18">
        <v>1653.4</v>
      </c>
      <c r="D29" s="19">
        <v>1790.5</v>
      </c>
      <c r="E29" s="19">
        <v>1779.1</v>
      </c>
      <c r="F29" s="19">
        <v>1821.5</v>
      </c>
      <c r="G29" s="19">
        <v>1615.9</v>
      </c>
      <c r="H29" s="19">
        <v>1679.6</v>
      </c>
      <c r="I29" s="19">
        <v>1702.4</v>
      </c>
      <c r="J29" s="20">
        <v>1727.9</v>
      </c>
      <c r="K29" s="11">
        <f t="shared" si="0"/>
        <v>13770.3</v>
      </c>
      <c r="M29" s="21">
        <f t="shared" si="1"/>
        <v>45864</v>
      </c>
      <c r="N29" s="22">
        <v>4.76</v>
      </c>
    </row>
    <row r="30" spans="2:14" x14ac:dyDescent="0.3">
      <c r="B30" s="7">
        <f t="shared" si="2"/>
        <v>45865</v>
      </c>
      <c r="C30" s="18">
        <v>1479</v>
      </c>
      <c r="D30" s="19">
        <v>1520.4</v>
      </c>
      <c r="E30" s="19">
        <v>1527.4</v>
      </c>
      <c r="F30" s="19">
        <v>1545.6</v>
      </c>
      <c r="G30" s="19">
        <v>1546.5</v>
      </c>
      <c r="H30" s="19">
        <v>1550.8</v>
      </c>
      <c r="I30" s="19">
        <v>1565.1</v>
      </c>
      <c r="J30" s="20">
        <v>1554</v>
      </c>
      <c r="K30" s="11">
        <f t="shared" si="0"/>
        <v>12288.8</v>
      </c>
      <c r="M30" s="21">
        <f t="shared" si="1"/>
        <v>45865</v>
      </c>
      <c r="N30" s="22">
        <v>5.66</v>
      </c>
    </row>
    <row r="31" spans="2:14" x14ac:dyDescent="0.3">
      <c r="B31" s="7">
        <f t="shared" si="2"/>
        <v>45866</v>
      </c>
      <c r="C31" s="18">
        <v>1837</v>
      </c>
      <c r="D31" s="19">
        <v>1888.2</v>
      </c>
      <c r="E31" s="19">
        <v>1866.3</v>
      </c>
      <c r="F31" s="19">
        <v>1922.3</v>
      </c>
      <c r="G31" s="19">
        <v>1915.5</v>
      </c>
      <c r="H31" s="19">
        <v>1926.5</v>
      </c>
      <c r="I31" s="19">
        <v>1954.7</v>
      </c>
      <c r="J31" s="20">
        <v>1940.4</v>
      </c>
      <c r="K31" s="11">
        <f t="shared" si="0"/>
        <v>15250.9</v>
      </c>
      <c r="M31" s="21">
        <f t="shared" si="1"/>
        <v>45866</v>
      </c>
      <c r="N31" s="22">
        <v>5.61</v>
      </c>
    </row>
    <row r="32" spans="2:14" x14ac:dyDescent="0.3">
      <c r="B32" s="7">
        <f t="shared" si="2"/>
        <v>45867</v>
      </c>
      <c r="C32" s="18">
        <v>1818.7</v>
      </c>
      <c r="D32" s="19">
        <v>1869.9</v>
      </c>
      <c r="E32" s="19">
        <v>1865.5</v>
      </c>
      <c r="F32" s="19">
        <v>1905.5</v>
      </c>
      <c r="G32" s="19">
        <v>1894.8</v>
      </c>
      <c r="H32" s="19">
        <v>1905.1</v>
      </c>
      <c r="I32" s="19">
        <v>1925.5</v>
      </c>
      <c r="J32" s="20">
        <v>1920.2</v>
      </c>
      <c r="K32" s="11">
        <f t="shared" si="0"/>
        <v>15105.2</v>
      </c>
      <c r="M32" s="21">
        <f t="shared" si="1"/>
        <v>45867</v>
      </c>
      <c r="N32" s="22">
        <v>5.41</v>
      </c>
    </row>
    <row r="33" spans="2:14" x14ac:dyDescent="0.3">
      <c r="B33" s="7">
        <f t="shared" si="2"/>
        <v>45868</v>
      </c>
      <c r="C33" s="18">
        <v>1769.5</v>
      </c>
      <c r="D33" s="19">
        <v>1817</v>
      </c>
      <c r="E33" s="19">
        <v>1810.7</v>
      </c>
      <c r="F33" s="19">
        <v>1842.1</v>
      </c>
      <c r="G33" s="19">
        <v>1837.6</v>
      </c>
      <c r="H33" s="19">
        <v>1852.1</v>
      </c>
      <c r="I33" s="19">
        <v>1877.2</v>
      </c>
      <c r="J33" s="20">
        <v>1868.1</v>
      </c>
      <c r="K33" s="11">
        <f t="shared" si="0"/>
        <v>14674.300000000001</v>
      </c>
      <c r="M33" s="21">
        <f t="shared" si="1"/>
        <v>45868</v>
      </c>
      <c r="N33" s="22">
        <v>5.31</v>
      </c>
    </row>
    <row r="34" spans="2:14" x14ac:dyDescent="0.3">
      <c r="B34" s="7">
        <f t="shared" si="2"/>
        <v>45869</v>
      </c>
      <c r="C34" s="18">
        <v>1620.3</v>
      </c>
      <c r="D34" s="19">
        <v>1672.1</v>
      </c>
      <c r="E34" s="19">
        <v>1672.9</v>
      </c>
      <c r="F34" s="19">
        <v>1691.9</v>
      </c>
      <c r="G34" s="19">
        <v>1688.5</v>
      </c>
      <c r="H34" s="19">
        <v>1696.7</v>
      </c>
      <c r="I34" s="19">
        <v>1714.5</v>
      </c>
      <c r="J34" s="20">
        <v>1705.9</v>
      </c>
      <c r="K34" s="24">
        <f t="shared" si="0"/>
        <v>13462.8</v>
      </c>
      <c r="M34" s="21">
        <f t="shared" si="1"/>
        <v>45869</v>
      </c>
      <c r="N34" s="22">
        <v>5.2</v>
      </c>
    </row>
    <row r="35" spans="2:14" x14ac:dyDescent="0.3">
      <c r="B35" s="7">
        <v>45870</v>
      </c>
      <c r="C35" s="18">
        <v>1775.9</v>
      </c>
      <c r="D35" s="19">
        <v>1892.1</v>
      </c>
      <c r="E35" s="19">
        <v>1911.9</v>
      </c>
      <c r="F35" s="19">
        <v>1961.6</v>
      </c>
      <c r="G35" s="19">
        <v>1964.9</v>
      </c>
      <c r="H35" s="19">
        <v>1986.8</v>
      </c>
      <c r="I35" s="19">
        <v>2023</v>
      </c>
      <c r="J35" s="20">
        <v>2014.7</v>
      </c>
      <c r="K35" s="11">
        <f t="shared" si="0"/>
        <v>15530.9</v>
      </c>
      <c r="M35" s="21">
        <f t="shared" si="1"/>
        <v>45870</v>
      </c>
      <c r="N35" s="22">
        <v>4.87</v>
      </c>
    </row>
    <row r="36" spans="2:14" x14ac:dyDescent="0.3">
      <c r="B36" s="7">
        <f>B35+1</f>
        <v>45871</v>
      </c>
      <c r="C36" s="18">
        <v>2031.8</v>
      </c>
      <c r="D36" s="19">
        <v>2086.5</v>
      </c>
      <c r="E36" s="19">
        <v>2071.8000000000002</v>
      </c>
      <c r="F36" s="19">
        <v>2107.1</v>
      </c>
      <c r="G36" s="19">
        <v>2098.6999999999998</v>
      </c>
      <c r="H36" s="19">
        <v>2114.8000000000002</v>
      </c>
      <c r="I36" s="19">
        <v>2144.8000000000002</v>
      </c>
      <c r="J36" s="20">
        <v>2128</v>
      </c>
      <c r="K36" s="11">
        <f t="shared" si="0"/>
        <v>16783.5</v>
      </c>
      <c r="M36" s="21">
        <f t="shared" si="1"/>
        <v>45871</v>
      </c>
      <c r="N36" s="22">
        <v>5.96</v>
      </c>
    </row>
    <row r="37" spans="2:14" x14ac:dyDescent="0.3">
      <c r="B37" s="7">
        <f t="shared" ref="B37:B65" si="3">B36+1</f>
        <v>45872</v>
      </c>
      <c r="C37" s="18">
        <v>2048.6</v>
      </c>
      <c r="D37" s="19">
        <v>2090.5</v>
      </c>
      <c r="E37" s="19">
        <v>2076.1999999999998</v>
      </c>
      <c r="F37" s="19">
        <v>2118.6999999999998</v>
      </c>
      <c r="G37" s="19">
        <v>2109.6999999999998</v>
      </c>
      <c r="H37" s="19">
        <v>2120.1999999999998</v>
      </c>
      <c r="I37" s="19">
        <v>2153.3000000000002</v>
      </c>
      <c r="J37" s="20">
        <v>2141.8000000000002</v>
      </c>
      <c r="K37" s="11">
        <f t="shared" si="0"/>
        <v>16859</v>
      </c>
      <c r="M37" s="21">
        <f t="shared" si="1"/>
        <v>45872</v>
      </c>
      <c r="N37" s="22">
        <v>5.96</v>
      </c>
    </row>
    <row r="38" spans="2:14" x14ac:dyDescent="0.3">
      <c r="B38" s="7">
        <f t="shared" si="3"/>
        <v>45873</v>
      </c>
      <c r="C38" s="18">
        <v>1843.2</v>
      </c>
      <c r="D38" s="19">
        <v>1880.8</v>
      </c>
      <c r="E38" s="19">
        <v>1873.1</v>
      </c>
      <c r="F38" s="19">
        <v>1906.3</v>
      </c>
      <c r="G38" s="19">
        <v>1897.1</v>
      </c>
      <c r="H38" s="19">
        <v>1907.1</v>
      </c>
      <c r="I38" s="19">
        <v>1935.6</v>
      </c>
      <c r="J38" s="20">
        <v>1905.3</v>
      </c>
      <c r="K38" s="11">
        <f t="shared" si="0"/>
        <v>15148.5</v>
      </c>
      <c r="M38" s="21">
        <f t="shared" si="1"/>
        <v>45873</v>
      </c>
      <c r="N38" s="22">
        <v>5.8</v>
      </c>
    </row>
    <row r="39" spans="2:14" x14ac:dyDescent="0.3">
      <c r="B39" s="7">
        <f t="shared" si="3"/>
        <v>45874</v>
      </c>
      <c r="C39" s="18">
        <v>1087.4000000000001</v>
      </c>
      <c r="D39" s="19">
        <v>1088.3</v>
      </c>
      <c r="E39" s="19">
        <v>1109.4000000000001</v>
      </c>
      <c r="F39" s="19">
        <v>1129.2</v>
      </c>
      <c r="G39" s="19">
        <v>1126.9000000000001</v>
      </c>
      <c r="H39" s="19">
        <v>1135</v>
      </c>
      <c r="I39" s="19">
        <v>1151.4000000000001</v>
      </c>
      <c r="J39" s="20">
        <v>1149.5</v>
      </c>
      <c r="K39" s="11">
        <f t="shared" si="0"/>
        <v>8977.1</v>
      </c>
      <c r="M39" s="21">
        <f t="shared" si="1"/>
        <v>45874</v>
      </c>
      <c r="N39" s="22">
        <v>3.77</v>
      </c>
    </row>
    <row r="40" spans="2:14" x14ac:dyDescent="0.3">
      <c r="B40" s="7">
        <f t="shared" si="3"/>
        <v>45875</v>
      </c>
      <c r="C40" s="18">
        <v>1621</v>
      </c>
      <c r="D40" s="19">
        <v>1672.6</v>
      </c>
      <c r="E40" s="19">
        <v>1656.7</v>
      </c>
      <c r="F40" s="19">
        <v>1687.6</v>
      </c>
      <c r="G40" s="19">
        <v>1661.3</v>
      </c>
      <c r="H40" s="19">
        <v>1667.6</v>
      </c>
      <c r="I40" s="19">
        <v>1680.3</v>
      </c>
      <c r="J40" s="20">
        <v>1687.9</v>
      </c>
      <c r="K40" s="11">
        <f t="shared" si="0"/>
        <v>13334.999999999998</v>
      </c>
      <c r="M40" s="21">
        <f t="shared" si="1"/>
        <v>45875</v>
      </c>
      <c r="N40" s="22">
        <v>5.43</v>
      </c>
    </row>
    <row r="41" spans="2:14" x14ac:dyDescent="0.3">
      <c r="B41" s="7">
        <f t="shared" si="3"/>
        <v>45876</v>
      </c>
      <c r="C41" s="18">
        <v>1722.6</v>
      </c>
      <c r="D41" s="19">
        <v>1749.4</v>
      </c>
      <c r="E41" s="19">
        <v>1731.4</v>
      </c>
      <c r="F41" s="19">
        <v>1579.3</v>
      </c>
      <c r="G41" s="19">
        <v>1622.4</v>
      </c>
      <c r="H41" s="19">
        <v>1709.6</v>
      </c>
      <c r="I41" s="19">
        <v>1770.1</v>
      </c>
      <c r="J41" s="20">
        <v>1713.5</v>
      </c>
      <c r="K41" s="11">
        <f t="shared" si="0"/>
        <v>13598.300000000001</v>
      </c>
      <c r="M41" s="21">
        <f t="shared" si="1"/>
        <v>45876</v>
      </c>
      <c r="N41" s="22">
        <v>5.46</v>
      </c>
    </row>
    <row r="42" spans="2:14" x14ac:dyDescent="0.3">
      <c r="B42" s="7">
        <f t="shared" si="3"/>
        <v>45877</v>
      </c>
      <c r="C42" s="18">
        <v>1379.1</v>
      </c>
      <c r="D42" s="19">
        <v>1402.4</v>
      </c>
      <c r="E42" s="19">
        <v>1401.3</v>
      </c>
      <c r="F42" s="19">
        <v>1414.4</v>
      </c>
      <c r="G42" s="19">
        <v>1414.2</v>
      </c>
      <c r="H42" s="19">
        <v>1417.3</v>
      </c>
      <c r="I42" s="19">
        <v>1433.2</v>
      </c>
      <c r="J42" s="20">
        <v>1423.7</v>
      </c>
      <c r="K42" s="11">
        <f t="shared" si="0"/>
        <v>11285.600000000002</v>
      </c>
      <c r="M42" s="21">
        <f t="shared" si="1"/>
        <v>45877</v>
      </c>
      <c r="N42" s="22">
        <v>4.07</v>
      </c>
    </row>
    <row r="43" spans="2:14" x14ac:dyDescent="0.3">
      <c r="B43" s="7">
        <f t="shared" si="3"/>
        <v>45878</v>
      </c>
      <c r="C43" s="18">
        <v>1860.8</v>
      </c>
      <c r="D43" s="19">
        <v>1830.7</v>
      </c>
      <c r="E43" s="19">
        <v>1838.5</v>
      </c>
      <c r="F43" s="19">
        <v>1869.1</v>
      </c>
      <c r="G43" s="19">
        <v>1813.5</v>
      </c>
      <c r="H43" s="19">
        <v>1696.1</v>
      </c>
      <c r="I43" s="19">
        <v>1804.5</v>
      </c>
      <c r="J43" s="20">
        <v>1886.2</v>
      </c>
      <c r="K43" s="11">
        <f t="shared" si="0"/>
        <v>14599.400000000001</v>
      </c>
      <c r="M43" s="21">
        <f t="shared" si="1"/>
        <v>45878</v>
      </c>
      <c r="N43" s="22">
        <v>5.62</v>
      </c>
    </row>
    <row r="44" spans="2:14" x14ac:dyDescent="0.3">
      <c r="B44" s="7">
        <f t="shared" si="3"/>
        <v>45879</v>
      </c>
      <c r="C44" s="18">
        <v>2144.5</v>
      </c>
      <c r="D44" s="19">
        <v>2036.1</v>
      </c>
      <c r="E44" s="19">
        <v>2029.6</v>
      </c>
      <c r="F44" s="19">
        <v>2056.6999999999998</v>
      </c>
      <c r="G44" s="19">
        <v>2063.9</v>
      </c>
      <c r="H44" s="19">
        <v>2062.3000000000002</v>
      </c>
      <c r="I44" s="19">
        <v>2089.6999999999998</v>
      </c>
      <c r="J44" s="20">
        <v>2069.9</v>
      </c>
      <c r="K44" s="11">
        <f t="shared" si="0"/>
        <v>16552.700000000004</v>
      </c>
      <c r="M44" s="21">
        <f t="shared" si="1"/>
        <v>45879</v>
      </c>
      <c r="N44" s="22">
        <v>5.98</v>
      </c>
    </row>
    <row r="45" spans="2:14" x14ac:dyDescent="0.3">
      <c r="B45" s="7">
        <f t="shared" si="3"/>
        <v>45880</v>
      </c>
      <c r="C45" s="18">
        <v>2162.6</v>
      </c>
      <c r="D45" s="19">
        <v>2064.4</v>
      </c>
      <c r="E45" s="19">
        <v>2055.6999999999998</v>
      </c>
      <c r="F45" s="19">
        <v>2048</v>
      </c>
      <c r="G45" s="19">
        <v>2091.6999999999998</v>
      </c>
      <c r="H45" s="19">
        <v>2094.8000000000002</v>
      </c>
      <c r="I45" s="19">
        <v>2078.6</v>
      </c>
      <c r="J45" s="20">
        <v>1908.5</v>
      </c>
      <c r="K45" s="11">
        <f t="shared" si="0"/>
        <v>16504.300000000003</v>
      </c>
      <c r="M45" s="21">
        <f t="shared" si="1"/>
        <v>45880</v>
      </c>
      <c r="N45" s="22">
        <v>6.08</v>
      </c>
    </row>
    <row r="46" spans="2:14" x14ac:dyDescent="0.3">
      <c r="B46" s="7">
        <f t="shared" si="3"/>
        <v>45881</v>
      </c>
      <c r="C46" s="18">
        <v>2236.1999999999998</v>
      </c>
      <c r="D46" s="19">
        <v>2118.1</v>
      </c>
      <c r="E46" s="19">
        <v>2112.1</v>
      </c>
      <c r="F46" s="19">
        <v>1893.4</v>
      </c>
      <c r="G46" s="19">
        <v>2148.6</v>
      </c>
      <c r="H46" s="19">
        <v>2155.5</v>
      </c>
      <c r="I46" s="19">
        <v>2187.6</v>
      </c>
      <c r="J46" s="20">
        <v>2174.6</v>
      </c>
      <c r="K46" s="11">
        <f t="shared" si="0"/>
        <v>17026.099999999999</v>
      </c>
      <c r="M46" s="21">
        <f t="shared" si="1"/>
        <v>45881</v>
      </c>
      <c r="N46" s="22">
        <v>6.21</v>
      </c>
    </row>
    <row r="47" spans="2:14" x14ac:dyDescent="0.3">
      <c r="B47" s="7">
        <f t="shared" si="3"/>
        <v>45882</v>
      </c>
      <c r="C47" s="18">
        <v>2128.5</v>
      </c>
      <c r="D47" s="19">
        <v>2051.9</v>
      </c>
      <c r="E47" s="19">
        <v>1989.6</v>
      </c>
      <c r="F47" s="19">
        <v>1829.8</v>
      </c>
      <c r="G47" s="19">
        <v>2007.3</v>
      </c>
      <c r="H47" s="19">
        <v>2015.7</v>
      </c>
      <c r="I47" s="19">
        <v>2042.3</v>
      </c>
      <c r="J47" s="20">
        <v>2044</v>
      </c>
      <c r="K47" s="11">
        <f t="shared" si="0"/>
        <v>16109.1</v>
      </c>
      <c r="M47" s="21">
        <f t="shared" si="1"/>
        <v>45882</v>
      </c>
      <c r="N47" s="22">
        <v>5.93</v>
      </c>
    </row>
    <row r="48" spans="2:14" x14ac:dyDescent="0.3">
      <c r="B48" s="7">
        <f t="shared" si="3"/>
        <v>45883</v>
      </c>
      <c r="C48" s="18">
        <v>1754.9</v>
      </c>
      <c r="D48" s="19">
        <v>1665.3</v>
      </c>
      <c r="E48" s="19">
        <v>1603.6</v>
      </c>
      <c r="F48" s="19">
        <v>1468</v>
      </c>
      <c r="G48" s="19">
        <v>1563.8</v>
      </c>
      <c r="H48" s="19">
        <v>1572.5</v>
      </c>
      <c r="I48" s="19">
        <v>1585.9</v>
      </c>
      <c r="J48" s="20">
        <v>1601.3</v>
      </c>
      <c r="K48" s="11">
        <f t="shared" si="0"/>
        <v>12815.299999999997</v>
      </c>
      <c r="M48" s="21">
        <f t="shared" si="1"/>
        <v>45883</v>
      </c>
      <c r="N48" s="22">
        <v>5.34</v>
      </c>
    </row>
    <row r="49" spans="2:14" x14ac:dyDescent="0.3">
      <c r="B49" s="7">
        <f t="shared" si="3"/>
        <v>45884</v>
      </c>
      <c r="C49" s="18">
        <v>2129.6999999999998</v>
      </c>
      <c r="D49" s="19">
        <v>2128.3000000000002</v>
      </c>
      <c r="E49" s="19">
        <v>2080.9</v>
      </c>
      <c r="F49" s="19">
        <v>1787.7</v>
      </c>
      <c r="G49" s="19">
        <v>1923.7</v>
      </c>
      <c r="H49" s="19">
        <v>1911.2</v>
      </c>
      <c r="I49" s="19">
        <v>1879</v>
      </c>
      <c r="J49" s="20">
        <v>1897.5</v>
      </c>
      <c r="K49" s="11">
        <f t="shared" si="0"/>
        <v>15738</v>
      </c>
      <c r="M49" s="21">
        <f t="shared" si="1"/>
        <v>45884</v>
      </c>
      <c r="N49" s="22">
        <v>5.37</v>
      </c>
    </row>
    <row r="50" spans="2:14" x14ac:dyDescent="0.3">
      <c r="B50" s="7">
        <f t="shared" si="3"/>
        <v>45885</v>
      </c>
      <c r="C50" s="18">
        <v>2356.9</v>
      </c>
      <c r="D50" s="19">
        <v>2367.6999999999998</v>
      </c>
      <c r="E50" s="19">
        <v>2334</v>
      </c>
      <c r="F50" s="19">
        <v>2060</v>
      </c>
      <c r="G50" s="19">
        <v>2317.4</v>
      </c>
      <c r="H50" s="19">
        <v>2221.1</v>
      </c>
      <c r="I50" s="19">
        <v>2173.3000000000002</v>
      </c>
      <c r="J50" s="20">
        <v>2110.5</v>
      </c>
      <c r="K50" s="11">
        <f t="shared" si="0"/>
        <v>17940.900000000001</v>
      </c>
      <c r="M50" s="21">
        <f t="shared" si="1"/>
        <v>45885</v>
      </c>
      <c r="N50" s="22">
        <v>5.91</v>
      </c>
    </row>
    <row r="51" spans="2:14" x14ac:dyDescent="0.3">
      <c r="B51" s="7">
        <f t="shared" si="3"/>
        <v>45886</v>
      </c>
      <c r="C51" s="18">
        <v>2368.1</v>
      </c>
      <c r="D51" s="19">
        <v>2384.9</v>
      </c>
      <c r="E51" s="19">
        <v>2357</v>
      </c>
      <c r="F51" s="19">
        <v>2070.6999999999998</v>
      </c>
      <c r="G51" s="19">
        <v>2382.5</v>
      </c>
      <c r="H51" s="19">
        <v>2246.6</v>
      </c>
      <c r="I51" s="19">
        <v>2193.5</v>
      </c>
      <c r="J51" s="20">
        <v>2124.3000000000002</v>
      </c>
      <c r="K51" s="11">
        <f t="shared" si="0"/>
        <v>18127.600000000002</v>
      </c>
      <c r="M51" s="21">
        <f t="shared" si="1"/>
        <v>45886</v>
      </c>
      <c r="N51" s="22">
        <v>6.05</v>
      </c>
    </row>
    <row r="52" spans="2:14" x14ac:dyDescent="0.3">
      <c r="B52" s="7">
        <f t="shared" si="3"/>
        <v>45887</v>
      </c>
      <c r="C52" s="18">
        <v>2437.1999999999998</v>
      </c>
      <c r="D52" s="19">
        <v>2444.3000000000002</v>
      </c>
      <c r="E52" s="19">
        <v>2408</v>
      </c>
      <c r="F52" s="19">
        <v>2118.1999999999998</v>
      </c>
      <c r="G52" s="19">
        <v>2435.9</v>
      </c>
      <c r="H52" s="19">
        <v>2187.4</v>
      </c>
      <c r="I52" s="19">
        <v>2206.6999999999998</v>
      </c>
      <c r="J52" s="20">
        <v>2169.1999999999998</v>
      </c>
      <c r="K52" s="11">
        <f t="shared" si="0"/>
        <v>18406.900000000001</v>
      </c>
      <c r="M52" s="21">
        <f t="shared" si="1"/>
        <v>45887</v>
      </c>
      <c r="N52" s="22">
        <v>6.26</v>
      </c>
    </row>
    <row r="53" spans="2:14" x14ac:dyDescent="0.3">
      <c r="B53" s="7">
        <f t="shared" si="3"/>
        <v>45888</v>
      </c>
      <c r="C53" s="18">
        <v>2445</v>
      </c>
      <c r="D53" s="19">
        <v>2448.9</v>
      </c>
      <c r="E53" s="19">
        <v>2421.5</v>
      </c>
      <c r="F53" s="19">
        <v>2126.3000000000002</v>
      </c>
      <c r="G53" s="19">
        <v>2450.4</v>
      </c>
      <c r="H53" s="19">
        <v>2415.1</v>
      </c>
      <c r="I53" s="19">
        <v>2413.1</v>
      </c>
      <c r="J53" s="20">
        <v>2384.1999999999998</v>
      </c>
      <c r="K53" s="11">
        <f t="shared" si="0"/>
        <v>19104.5</v>
      </c>
      <c r="M53" s="21">
        <f t="shared" si="1"/>
        <v>45888</v>
      </c>
      <c r="N53" s="22">
        <v>6.34</v>
      </c>
    </row>
    <row r="54" spans="2:14" x14ac:dyDescent="0.3">
      <c r="B54" s="7">
        <f t="shared" si="3"/>
        <v>45889</v>
      </c>
      <c r="C54" s="18">
        <v>2115.5</v>
      </c>
      <c r="D54" s="19">
        <v>2123.1999999999998</v>
      </c>
      <c r="E54" s="19">
        <v>2099.5</v>
      </c>
      <c r="F54" s="19">
        <v>1847.8</v>
      </c>
      <c r="G54" s="19">
        <v>2133.1999999999998</v>
      </c>
      <c r="H54" s="19">
        <v>2150.6999999999998</v>
      </c>
      <c r="I54" s="19">
        <v>2171.9</v>
      </c>
      <c r="J54" s="20">
        <v>2157.6999999999998</v>
      </c>
      <c r="K54" s="11">
        <f t="shared" si="0"/>
        <v>16799.5</v>
      </c>
      <c r="M54" s="21">
        <f t="shared" si="1"/>
        <v>45889</v>
      </c>
      <c r="N54" s="22">
        <v>5.87</v>
      </c>
    </row>
    <row r="55" spans="2:14" x14ac:dyDescent="0.3">
      <c r="B55" s="7">
        <f t="shared" si="3"/>
        <v>45890</v>
      </c>
      <c r="C55" s="18">
        <v>2368.8000000000002</v>
      </c>
      <c r="D55" s="19">
        <v>2034.1</v>
      </c>
      <c r="E55" s="19">
        <v>2356.1</v>
      </c>
      <c r="F55" s="19">
        <v>2191.3000000000002</v>
      </c>
      <c r="G55" s="19">
        <v>2383.8000000000002</v>
      </c>
      <c r="H55" s="19">
        <v>2399</v>
      </c>
      <c r="I55" s="19">
        <v>2422.8000000000002</v>
      </c>
      <c r="J55" s="20">
        <v>2399.5</v>
      </c>
      <c r="K55" s="11">
        <f t="shared" si="0"/>
        <v>18555.399999999998</v>
      </c>
      <c r="M55" s="21">
        <f t="shared" si="1"/>
        <v>45890</v>
      </c>
      <c r="N55" s="22">
        <v>6.16</v>
      </c>
    </row>
    <row r="56" spans="2:14" x14ac:dyDescent="0.3">
      <c r="B56" s="7">
        <f t="shared" si="3"/>
        <v>45891</v>
      </c>
      <c r="C56" s="18">
        <v>2500</v>
      </c>
      <c r="D56" s="19">
        <v>2080.1999999999998</v>
      </c>
      <c r="E56" s="19">
        <v>2462.8000000000002</v>
      </c>
      <c r="F56" s="19">
        <v>2291.8000000000002</v>
      </c>
      <c r="G56" s="19">
        <v>2485.1999999999998</v>
      </c>
      <c r="H56" s="19">
        <v>2502.9</v>
      </c>
      <c r="I56" s="19">
        <v>2517.6</v>
      </c>
      <c r="J56" s="20">
        <v>2508.9</v>
      </c>
      <c r="K56" s="11">
        <f t="shared" si="0"/>
        <v>19349.400000000001</v>
      </c>
      <c r="M56" s="21">
        <f t="shared" si="1"/>
        <v>45891</v>
      </c>
      <c r="N56" s="22">
        <v>6.61</v>
      </c>
    </row>
    <row r="57" spans="2:14" x14ac:dyDescent="0.3">
      <c r="B57" s="7">
        <f t="shared" si="3"/>
        <v>45892</v>
      </c>
      <c r="C57" s="18">
        <v>2073.1999999999998</v>
      </c>
      <c r="D57" s="19">
        <v>2075.6999999999998</v>
      </c>
      <c r="E57" s="19">
        <v>2057.3000000000002</v>
      </c>
      <c r="F57" s="19">
        <v>1943</v>
      </c>
      <c r="G57" s="19">
        <v>2078.8000000000002</v>
      </c>
      <c r="H57" s="19">
        <v>2090</v>
      </c>
      <c r="I57" s="19">
        <v>2104.9</v>
      </c>
      <c r="J57" s="20">
        <v>2092.6</v>
      </c>
      <c r="K57" s="11">
        <f t="shared" si="0"/>
        <v>16515.5</v>
      </c>
      <c r="M57" s="21">
        <f t="shared" si="1"/>
        <v>45892</v>
      </c>
      <c r="N57" s="22">
        <v>5.57</v>
      </c>
    </row>
    <row r="58" spans="2:14" x14ac:dyDescent="0.3">
      <c r="B58" s="7">
        <f t="shared" si="3"/>
        <v>45893</v>
      </c>
      <c r="C58" s="18">
        <v>1715.7</v>
      </c>
      <c r="D58" s="19">
        <v>1714.8</v>
      </c>
      <c r="E58" s="19">
        <v>1689</v>
      </c>
      <c r="F58" s="19">
        <v>1580.8</v>
      </c>
      <c r="G58" s="19">
        <v>1716.3</v>
      </c>
      <c r="H58" s="19">
        <v>1736.4</v>
      </c>
      <c r="I58" s="19">
        <v>1748.9</v>
      </c>
      <c r="J58" s="20">
        <v>1724.5</v>
      </c>
      <c r="K58" s="11">
        <f t="shared" si="0"/>
        <v>13626.4</v>
      </c>
      <c r="M58" s="21">
        <f t="shared" si="1"/>
        <v>45893</v>
      </c>
      <c r="N58" s="22">
        <v>6.16</v>
      </c>
    </row>
    <row r="59" spans="2:14" x14ac:dyDescent="0.3">
      <c r="B59" s="7">
        <f t="shared" si="3"/>
        <v>45894</v>
      </c>
      <c r="C59" s="18">
        <v>2354.6</v>
      </c>
      <c r="D59" s="19">
        <v>2358.9</v>
      </c>
      <c r="E59" s="19">
        <v>2325.3000000000002</v>
      </c>
      <c r="F59" s="19">
        <v>2256.1999999999998</v>
      </c>
      <c r="G59" s="19">
        <v>2353.1999999999998</v>
      </c>
      <c r="H59" s="19">
        <v>2369</v>
      </c>
      <c r="I59" s="19">
        <v>2387.8000000000002</v>
      </c>
      <c r="J59" s="20">
        <v>2376.6</v>
      </c>
      <c r="K59" s="11">
        <f t="shared" si="0"/>
        <v>18781.599999999999</v>
      </c>
      <c r="M59" s="21">
        <f t="shared" si="1"/>
        <v>45894</v>
      </c>
      <c r="N59" s="22">
        <v>6.37</v>
      </c>
    </row>
    <row r="60" spans="2:14" x14ac:dyDescent="0.3">
      <c r="B60" s="7">
        <f t="shared" si="3"/>
        <v>45895</v>
      </c>
      <c r="C60" s="18">
        <v>2453.3000000000002</v>
      </c>
      <c r="D60" s="19">
        <v>2459.5</v>
      </c>
      <c r="E60" s="19">
        <v>2423.1</v>
      </c>
      <c r="F60" s="19">
        <v>2300.5</v>
      </c>
      <c r="G60" s="19">
        <v>2440.8000000000002</v>
      </c>
      <c r="H60" s="19">
        <v>2451.5</v>
      </c>
      <c r="I60" s="19">
        <v>2469.4</v>
      </c>
      <c r="J60" s="20">
        <v>2424.3000000000002</v>
      </c>
      <c r="K60" s="11">
        <f t="shared" si="0"/>
        <v>19422.400000000001</v>
      </c>
      <c r="M60" s="21">
        <f t="shared" si="1"/>
        <v>45895</v>
      </c>
      <c r="N60" s="22">
        <v>6.27</v>
      </c>
    </row>
    <row r="61" spans="2:14" x14ac:dyDescent="0.3">
      <c r="B61" s="7">
        <f t="shared" si="3"/>
        <v>45896</v>
      </c>
      <c r="C61" s="18">
        <v>1938</v>
      </c>
      <c r="D61" s="19">
        <v>1938.5</v>
      </c>
      <c r="E61" s="19">
        <v>1910.5</v>
      </c>
      <c r="F61" s="19">
        <v>1928</v>
      </c>
      <c r="G61" s="19">
        <v>1915.8</v>
      </c>
      <c r="H61" s="19">
        <v>1928.4</v>
      </c>
      <c r="I61" s="19">
        <v>1945.2</v>
      </c>
      <c r="J61" s="20">
        <v>1947.1</v>
      </c>
      <c r="K61" s="11">
        <f t="shared" si="0"/>
        <v>15451.5</v>
      </c>
      <c r="M61" s="21">
        <f t="shared" si="1"/>
        <v>45896</v>
      </c>
      <c r="N61" s="22">
        <v>4.63</v>
      </c>
    </row>
    <row r="62" spans="2:14" x14ac:dyDescent="0.3">
      <c r="B62" s="7">
        <f t="shared" si="3"/>
        <v>45897</v>
      </c>
      <c r="C62" s="18">
        <v>1948.5</v>
      </c>
      <c r="D62" s="19">
        <v>1956</v>
      </c>
      <c r="E62" s="19">
        <v>1934.8</v>
      </c>
      <c r="F62" s="19">
        <v>1972.7</v>
      </c>
      <c r="G62" s="19">
        <v>1975.1</v>
      </c>
      <c r="H62" s="19">
        <v>2000.5</v>
      </c>
      <c r="I62" s="19">
        <v>2020</v>
      </c>
      <c r="J62" s="20">
        <v>2009.2</v>
      </c>
      <c r="K62" s="11">
        <f t="shared" si="0"/>
        <v>15816.800000000001</v>
      </c>
      <c r="M62" s="21">
        <f t="shared" si="1"/>
        <v>45897</v>
      </c>
      <c r="N62" s="22">
        <v>5.14</v>
      </c>
    </row>
    <row r="63" spans="2:14" x14ac:dyDescent="0.3">
      <c r="B63" s="7">
        <f t="shared" si="3"/>
        <v>45898</v>
      </c>
      <c r="C63" s="18">
        <v>1794.6</v>
      </c>
      <c r="D63" s="19">
        <v>1792.9</v>
      </c>
      <c r="E63" s="19">
        <v>1770.8</v>
      </c>
      <c r="F63" s="19">
        <v>1800.1</v>
      </c>
      <c r="G63" s="19">
        <v>1791.6</v>
      </c>
      <c r="H63" s="19">
        <v>655.35</v>
      </c>
      <c r="I63" s="19">
        <v>1828.6</v>
      </c>
      <c r="J63" s="20">
        <v>1827.5</v>
      </c>
      <c r="K63" s="11">
        <f t="shared" si="0"/>
        <v>13261.45</v>
      </c>
      <c r="M63" s="21">
        <f t="shared" si="1"/>
        <v>45898</v>
      </c>
      <c r="N63" s="22">
        <v>4.67</v>
      </c>
    </row>
    <row r="64" spans="2:14" x14ac:dyDescent="0.3">
      <c r="B64" s="7">
        <f t="shared" si="3"/>
        <v>45899</v>
      </c>
      <c r="C64" s="18">
        <v>1727.8</v>
      </c>
      <c r="D64" s="19">
        <v>1798.1</v>
      </c>
      <c r="E64" s="19">
        <v>1733</v>
      </c>
      <c r="F64" s="19">
        <v>1659.1</v>
      </c>
      <c r="G64" s="19">
        <v>925</v>
      </c>
      <c r="H64" s="19">
        <v>1754.1</v>
      </c>
      <c r="I64" s="19">
        <v>1741.2</v>
      </c>
      <c r="J64" s="20">
        <v>1769</v>
      </c>
      <c r="K64" s="11">
        <f t="shared" si="0"/>
        <v>13107.300000000001</v>
      </c>
      <c r="M64" s="21">
        <f t="shared" si="1"/>
        <v>45899</v>
      </c>
      <c r="N64" s="22">
        <v>5.27</v>
      </c>
    </row>
    <row r="65" spans="2:14" x14ac:dyDescent="0.3">
      <c r="B65" s="7">
        <f t="shared" si="3"/>
        <v>45900</v>
      </c>
      <c r="C65" s="18">
        <v>2160.1</v>
      </c>
      <c r="D65" s="19">
        <v>2165.6999999999998</v>
      </c>
      <c r="E65" s="19">
        <v>2144.8000000000002</v>
      </c>
      <c r="F65" s="19">
        <v>1977.7</v>
      </c>
      <c r="G65" s="19">
        <v>0</v>
      </c>
      <c r="H65" s="19">
        <v>2182.8000000000002</v>
      </c>
      <c r="I65" s="19">
        <v>2201</v>
      </c>
      <c r="J65" s="20">
        <v>2190.1999999999998</v>
      </c>
      <c r="K65" s="11">
        <f t="shared" si="0"/>
        <v>15022.3</v>
      </c>
      <c r="M65" s="21">
        <f t="shared" si="1"/>
        <v>45900</v>
      </c>
      <c r="N65" s="22">
        <v>6.34</v>
      </c>
    </row>
    <row r="66" spans="2:14" x14ac:dyDescent="0.3">
      <c r="B66" s="7">
        <v>45901</v>
      </c>
      <c r="C66" s="18">
        <v>1984.1</v>
      </c>
      <c r="D66" s="19">
        <v>1996</v>
      </c>
      <c r="E66" s="19">
        <v>1964.2</v>
      </c>
      <c r="F66" s="19">
        <v>1939.1</v>
      </c>
      <c r="G66" s="19">
        <v>1319.3</v>
      </c>
      <c r="H66" s="19">
        <v>1986.2</v>
      </c>
      <c r="I66" s="19">
        <v>1998.9</v>
      </c>
      <c r="J66" s="20">
        <v>1991.1</v>
      </c>
      <c r="K66" s="11">
        <f t="shared" si="0"/>
        <v>15178.9</v>
      </c>
      <c r="M66" s="21">
        <f t="shared" si="1"/>
        <v>45901</v>
      </c>
      <c r="N66" s="22">
        <v>7.26</v>
      </c>
    </row>
    <row r="67" spans="2:14" x14ac:dyDescent="0.3">
      <c r="B67" s="7">
        <v>45902</v>
      </c>
      <c r="C67" s="18">
        <v>2170.8000000000002</v>
      </c>
      <c r="D67" s="19">
        <v>2191.4</v>
      </c>
      <c r="E67" s="19">
        <v>2117.6999999999998</v>
      </c>
      <c r="F67" s="19">
        <v>2116.6999999999998</v>
      </c>
      <c r="G67" s="19">
        <v>2157.9</v>
      </c>
      <c r="H67" s="19">
        <v>2177.9</v>
      </c>
      <c r="I67" s="19">
        <v>2204.8000000000002</v>
      </c>
      <c r="J67" s="20">
        <v>2188.6</v>
      </c>
      <c r="K67" s="11">
        <f t="shared" si="0"/>
        <v>17325.8</v>
      </c>
      <c r="M67" s="21">
        <f t="shared" si="1"/>
        <v>45902</v>
      </c>
      <c r="N67" s="22">
        <v>8.27</v>
      </c>
    </row>
    <row r="68" spans="2:14" x14ac:dyDescent="0.3">
      <c r="B68" s="7">
        <v>45903</v>
      </c>
      <c r="C68" s="18">
        <v>2002</v>
      </c>
      <c r="D68" s="19">
        <v>2011.4</v>
      </c>
      <c r="E68" s="19">
        <v>1997.8</v>
      </c>
      <c r="F68" s="19">
        <v>2016.8</v>
      </c>
      <c r="G68" s="19">
        <v>2031.6</v>
      </c>
      <c r="H68" s="19">
        <v>2050.9</v>
      </c>
      <c r="I68" s="19">
        <v>2072.3000000000002</v>
      </c>
      <c r="J68" s="20">
        <v>2070.6999999999998</v>
      </c>
      <c r="K68" s="11">
        <f t="shared" ref="K68:K131" si="4">SUM(C68:J68)</f>
        <v>16253.5</v>
      </c>
      <c r="M68" s="21">
        <f t="shared" si="1"/>
        <v>45903</v>
      </c>
      <c r="N68" s="22">
        <v>7.57</v>
      </c>
    </row>
    <row r="69" spans="2:14" x14ac:dyDescent="0.3">
      <c r="B69" s="7">
        <v>45904</v>
      </c>
      <c r="C69" s="18">
        <v>1642.9</v>
      </c>
      <c r="D69" s="19">
        <v>1643.5</v>
      </c>
      <c r="E69" s="19">
        <v>1619.1</v>
      </c>
      <c r="F69" s="19">
        <v>1636</v>
      </c>
      <c r="G69" s="19">
        <v>1622.4</v>
      </c>
      <c r="H69" s="19">
        <v>1635.5</v>
      </c>
      <c r="I69" s="19">
        <v>1649</v>
      </c>
      <c r="J69" s="20">
        <v>1643.9</v>
      </c>
      <c r="K69" s="11">
        <f t="shared" si="4"/>
        <v>13092.3</v>
      </c>
      <c r="M69" s="21">
        <f t="shared" ref="M69:M132" si="5">B69</f>
        <v>45904</v>
      </c>
      <c r="N69" s="22">
        <v>5.86</v>
      </c>
    </row>
    <row r="70" spans="2:14" x14ac:dyDescent="0.3">
      <c r="B70" s="7">
        <v>45905</v>
      </c>
      <c r="C70" s="18">
        <v>1656.9</v>
      </c>
      <c r="D70" s="19">
        <v>1663.3</v>
      </c>
      <c r="E70" s="19">
        <v>1617.8</v>
      </c>
      <c r="F70" s="19">
        <v>1631</v>
      </c>
      <c r="G70" s="19">
        <v>1656.9</v>
      </c>
      <c r="H70" s="19">
        <v>1688</v>
      </c>
      <c r="I70" s="19">
        <v>1710.1</v>
      </c>
      <c r="J70" s="20">
        <v>1716.5</v>
      </c>
      <c r="K70" s="11">
        <f t="shared" si="4"/>
        <v>13340.5</v>
      </c>
      <c r="M70" s="21">
        <f t="shared" si="5"/>
        <v>45905</v>
      </c>
      <c r="N70" s="22">
        <v>6.39</v>
      </c>
    </row>
    <row r="71" spans="2:14" x14ac:dyDescent="0.3">
      <c r="B71" s="7">
        <v>45906</v>
      </c>
      <c r="C71" s="18">
        <v>1878.9</v>
      </c>
      <c r="D71" s="19">
        <v>1881.1</v>
      </c>
      <c r="E71" s="19">
        <v>1871.7</v>
      </c>
      <c r="F71" s="19">
        <v>1672.4</v>
      </c>
      <c r="G71" s="19">
        <v>1901.5</v>
      </c>
      <c r="H71" s="19">
        <v>1929.9</v>
      </c>
      <c r="I71" s="19">
        <v>1952.5</v>
      </c>
      <c r="J71" s="20">
        <v>1957.1</v>
      </c>
      <c r="K71" s="11">
        <f t="shared" si="4"/>
        <v>15045.1</v>
      </c>
      <c r="M71" s="21">
        <f t="shared" si="5"/>
        <v>45906</v>
      </c>
      <c r="N71" s="22">
        <v>7.13</v>
      </c>
    </row>
    <row r="72" spans="2:14" x14ac:dyDescent="0.3">
      <c r="B72" s="7">
        <v>45907</v>
      </c>
      <c r="C72" s="18">
        <v>2404.8000000000002</v>
      </c>
      <c r="D72" s="19">
        <v>2205.8000000000002</v>
      </c>
      <c r="E72" s="19">
        <v>2380.4</v>
      </c>
      <c r="F72" s="19">
        <v>2036.6</v>
      </c>
      <c r="G72" s="19">
        <v>2393.1999999999998</v>
      </c>
      <c r="H72" s="19">
        <v>2412.6</v>
      </c>
      <c r="I72" s="19">
        <v>2148.9</v>
      </c>
      <c r="J72" s="20">
        <v>2422.3000000000002</v>
      </c>
      <c r="K72" s="11">
        <f t="shared" si="4"/>
        <v>18404.599999999999</v>
      </c>
      <c r="M72" s="21">
        <f t="shared" si="5"/>
        <v>45907</v>
      </c>
      <c r="N72" s="22">
        <v>8.84</v>
      </c>
    </row>
    <row r="73" spans="2:14" x14ac:dyDescent="0.3">
      <c r="B73" s="7">
        <v>45908</v>
      </c>
      <c r="C73" s="18">
        <v>2423.4</v>
      </c>
      <c r="D73" s="19">
        <v>2426.9</v>
      </c>
      <c r="E73" s="19">
        <v>2402.6999999999998</v>
      </c>
      <c r="F73" s="19">
        <v>2327.1999999999998</v>
      </c>
      <c r="G73" s="19">
        <v>2410.9</v>
      </c>
      <c r="H73" s="19">
        <v>2428.4</v>
      </c>
      <c r="I73" s="19">
        <v>2442.6999999999998</v>
      </c>
      <c r="J73" s="20">
        <v>2438.6</v>
      </c>
      <c r="K73" s="11">
        <f t="shared" si="4"/>
        <v>19300.8</v>
      </c>
      <c r="M73" s="21">
        <f t="shared" si="5"/>
        <v>45908</v>
      </c>
      <c r="N73" s="22">
        <v>8.85</v>
      </c>
    </row>
    <row r="74" spans="2:14" x14ac:dyDescent="0.3">
      <c r="B74" s="7">
        <v>45909</v>
      </c>
      <c r="C74" s="18">
        <v>2230.4</v>
      </c>
      <c r="D74" s="19">
        <v>2197.4</v>
      </c>
      <c r="E74" s="19">
        <v>2182.5</v>
      </c>
      <c r="F74" s="19">
        <v>2108.4</v>
      </c>
      <c r="G74" s="19">
        <v>2206</v>
      </c>
      <c r="H74" s="19">
        <v>2247.8000000000002</v>
      </c>
      <c r="I74" s="19">
        <v>2207.1</v>
      </c>
      <c r="J74" s="20">
        <v>2248</v>
      </c>
      <c r="K74" s="11">
        <f t="shared" si="4"/>
        <v>17627.599999999999</v>
      </c>
      <c r="M74" s="21">
        <f t="shared" si="5"/>
        <v>45909</v>
      </c>
      <c r="N74" s="22">
        <v>8.2100000000000009</v>
      </c>
    </row>
    <row r="75" spans="2:14" x14ac:dyDescent="0.3">
      <c r="B75" s="7">
        <v>45910</v>
      </c>
      <c r="C75" s="18">
        <v>1935.8</v>
      </c>
      <c r="D75" s="19">
        <v>1957.1</v>
      </c>
      <c r="E75" s="19">
        <v>1852.8</v>
      </c>
      <c r="F75" s="19">
        <v>1844.1</v>
      </c>
      <c r="G75" s="19">
        <v>1966.1</v>
      </c>
      <c r="H75" s="19">
        <v>1989.1</v>
      </c>
      <c r="I75" s="19">
        <v>2007.1</v>
      </c>
      <c r="J75" s="20">
        <v>2003.3</v>
      </c>
      <c r="K75" s="11">
        <f t="shared" si="4"/>
        <v>15555.4</v>
      </c>
      <c r="M75" s="21">
        <f t="shared" si="5"/>
        <v>45910</v>
      </c>
      <c r="N75" s="22">
        <v>7.23</v>
      </c>
    </row>
    <row r="76" spans="2:14" x14ac:dyDescent="0.3">
      <c r="B76" s="7">
        <v>45911</v>
      </c>
      <c r="C76" s="18">
        <v>2132.8000000000002</v>
      </c>
      <c r="D76" s="19">
        <v>2145.1999999999998</v>
      </c>
      <c r="E76" s="19">
        <v>2055.1999999999998</v>
      </c>
      <c r="F76" s="19">
        <v>2046.7</v>
      </c>
      <c r="G76" s="19">
        <v>2150.1</v>
      </c>
      <c r="H76" s="19">
        <v>2168.8000000000002</v>
      </c>
      <c r="I76" s="19">
        <v>2172</v>
      </c>
      <c r="J76" s="20">
        <v>2087.6</v>
      </c>
      <c r="K76" s="11">
        <f t="shared" si="4"/>
        <v>16958.399999999998</v>
      </c>
      <c r="M76" s="21">
        <f t="shared" si="5"/>
        <v>45911</v>
      </c>
      <c r="N76" s="22">
        <v>7.86</v>
      </c>
    </row>
    <row r="77" spans="2:14" x14ac:dyDescent="0.3">
      <c r="B77" s="7">
        <v>45912</v>
      </c>
      <c r="C77" s="18">
        <v>2213.3000000000002</v>
      </c>
      <c r="D77" s="19">
        <v>2227.9</v>
      </c>
      <c r="E77" s="19">
        <v>2077</v>
      </c>
      <c r="F77" s="19">
        <v>2047.4</v>
      </c>
      <c r="G77" s="19">
        <v>2232.4</v>
      </c>
      <c r="H77" s="19">
        <v>2252.4</v>
      </c>
      <c r="I77" s="19">
        <v>2270.1999999999998</v>
      </c>
      <c r="J77" s="20">
        <v>2254.6999999999998</v>
      </c>
      <c r="K77" s="11">
        <f t="shared" si="4"/>
        <v>17575.3</v>
      </c>
      <c r="M77" s="21">
        <f t="shared" si="5"/>
        <v>45912</v>
      </c>
      <c r="N77" s="22">
        <v>8.1</v>
      </c>
    </row>
    <row r="78" spans="2:14" x14ac:dyDescent="0.3">
      <c r="B78" s="7">
        <v>45913</v>
      </c>
      <c r="C78" s="18">
        <v>2240.6999999999998</v>
      </c>
      <c r="D78" s="19">
        <v>2256.8000000000002</v>
      </c>
      <c r="E78" s="19">
        <v>2120.1999999999998</v>
      </c>
      <c r="F78" s="19">
        <v>2095</v>
      </c>
      <c r="G78" s="19">
        <v>2259</v>
      </c>
      <c r="H78" s="19">
        <v>2276.9</v>
      </c>
      <c r="I78" s="19">
        <v>2297.4</v>
      </c>
      <c r="J78" s="20">
        <v>2281</v>
      </c>
      <c r="K78" s="11">
        <f t="shared" si="4"/>
        <v>17827</v>
      </c>
      <c r="M78" s="21">
        <f t="shared" si="5"/>
        <v>45913</v>
      </c>
      <c r="N78" s="22">
        <v>7.99</v>
      </c>
    </row>
    <row r="79" spans="2:14" x14ac:dyDescent="0.3">
      <c r="B79" s="7">
        <v>45914</v>
      </c>
      <c r="C79" s="18">
        <v>1793.7</v>
      </c>
      <c r="D79" s="19">
        <v>1806</v>
      </c>
      <c r="E79" s="19">
        <v>1713.1</v>
      </c>
      <c r="F79" s="19">
        <v>1696.4</v>
      </c>
      <c r="G79" s="19">
        <v>1815.2</v>
      </c>
      <c r="H79" s="19">
        <v>1832.1</v>
      </c>
      <c r="I79" s="19">
        <v>1848.5</v>
      </c>
      <c r="J79" s="20">
        <v>1834.7</v>
      </c>
      <c r="K79" s="11">
        <f t="shared" si="4"/>
        <v>14339.7</v>
      </c>
      <c r="M79" s="21">
        <f t="shared" si="5"/>
        <v>45914</v>
      </c>
      <c r="N79" s="22">
        <v>6.67</v>
      </c>
    </row>
    <row r="80" spans="2:14" x14ac:dyDescent="0.3">
      <c r="B80" s="7">
        <v>45915</v>
      </c>
      <c r="C80" s="18">
        <v>1391.1</v>
      </c>
      <c r="D80" s="19">
        <v>1399.4</v>
      </c>
      <c r="E80" s="19">
        <v>1309.5</v>
      </c>
      <c r="F80" s="19">
        <v>1258.0999999999999</v>
      </c>
      <c r="G80" s="19">
        <v>1397</v>
      </c>
      <c r="H80" s="19">
        <v>1415.9</v>
      </c>
      <c r="I80" s="19">
        <v>1426.9</v>
      </c>
      <c r="J80" s="20">
        <v>1426.8</v>
      </c>
      <c r="K80" s="11">
        <f t="shared" si="4"/>
        <v>11024.699999999999</v>
      </c>
      <c r="M80" s="21">
        <f t="shared" si="5"/>
        <v>45915</v>
      </c>
      <c r="N80" s="22">
        <v>5.6</v>
      </c>
    </row>
    <row r="81" spans="2:15" x14ac:dyDescent="0.3">
      <c r="B81" s="7">
        <v>45916</v>
      </c>
      <c r="C81" s="18">
        <v>1534.7</v>
      </c>
      <c r="D81" s="19">
        <v>1548</v>
      </c>
      <c r="E81" s="19">
        <v>1491</v>
      </c>
      <c r="F81" s="19">
        <v>1456.2</v>
      </c>
      <c r="G81" s="19">
        <v>1549</v>
      </c>
      <c r="H81" s="19">
        <v>1565.7</v>
      </c>
      <c r="I81" s="19">
        <v>1580.1</v>
      </c>
      <c r="J81" s="20">
        <v>1574</v>
      </c>
      <c r="K81" s="11">
        <f t="shared" si="4"/>
        <v>12298.7</v>
      </c>
      <c r="M81" s="21">
        <f t="shared" si="5"/>
        <v>45916</v>
      </c>
      <c r="N81" s="22">
        <v>5.75</v>
      </c>
    </row>
    <row r="82" spans="2:15" x14ac:dyDescent="0.3">
      <c r="B82" s="7">
        <v>45917</v>
      </c>
      <c r="C82" s="18">
        <v>822.5</v>
      </c>
      <c r="D82" s="19">
        <v>833.2</v>
      </c>
      <c r="E82" s="19">
        <v>830.8</v>
      </c>
      <c r="F82" s="19">
        <v>838.5</v>
      </c>
      <c r="G82" s="19">
        <v>840.3</v>
      </c>
      <c r="H82" s="19">
        <v>849.4</v>
      </c>
      <c r="I82" s="19">
        <v>858.8</v>
      </c>
      <c r="J82" s="20">
        <v>851.6</v>
      </c>
      <c r="K82" s="11">
        <f t="shared" si="4"/>
        <v>6725.1</v>
      </c>
      <c r="M82" s="21">
        <f t="shared" si="5"/>
        <v>45917</v>
      </c>
      <c r="N82" s="22">
        <v>2.89</v>
      </c>
    </row>
    <row r="83" spans="2:15" x14ac:dyDescent="0.3">
      <c r="B83" s="7">
        <v>45918</v>
      </c>
      <c r="C83" s="18">
        <v>1320.5</v>
      </c>
      <c r="D83" s="19">
        <v>1326.8</v>
      </c>
      <c r="E83" s="19">
        <v>1318.7</v>
      </c>
      <c r="F83" s="19">
        <v>1321.2</v>
      </c>
      <c r="G83" s="19">
        <v>1317.7</v>
      </c>
      <c r="H83" s="19">
        <v>1326.3</v>
      </c>
      <c r="I83" s="19">
        <v>1331.7</v>
      </c>
      <c r="J83" s="20">
        <v>1319.2</v>
      </c>
      <c r="K83" s="11">
        <f t="shared" si="4"/>
        <v>10582.1</v>
      </c>
      <c r="M83" s="21">
        <f t="shared" si="5"/>
        <v>45918</v>
      </c>
      <c r="N83" s="22">
        <v>4.97</v>
      </c>
    </row>
    <row r="84" spans="2:15" x14ac:dyDescent="0.3">
      <c r="B84" s="7">
        <v>45919</v>
      </c>
      <c r="C84" s="18">
        <v>877.5</v>
      </c>
      <c r="D84" s="19">
        <v>891.9</v>
      </c>
      <c r="E84" s="19">
        <v>877.4</v>
      </c>
      <c r="F84" s="19">
        <v>880.8</v>
      </c>
      <c r="G84" s="19">
        <v>892.8</v>
      </c>
      <c r="H84" s="19">
        <v>898.7</v>
      </c>
      <c r="I84" s="19">
        <v>904.1</v>
      </c>
      <c r="J84" s="20">
        <v>892.8</v>
      </c>
      <c r="K84" s="11">
        <f t="shared" si="4"/>
        <v>7116.0000000000009</v>
      </c>
      <c r="M84" s="21">
        <f t="shared" si="5"/>
        <v>45919</v>
      </c>
      <c r="N84" s="22">
        <v>3.02</v>
      </c>
    </row>
    <row r="85" spans="2:15" x14ac:dyDescent="0.3">
      <c r="B85" s="7">
        <v>45920</v>
      </c>
      <c r="C85" s="18">
        <v>1761.8</v>
      </c>
      <c r="D85" s="19">
        <v>1761.5</v>
      </c>
      <c r="E85" s="19">
        <v>1728.3</v>
      </c>
      <c r="F85" s="19">
        <v>1718</v>
      </c>
      <c r="G85" s="19">
        <v>1756.9</v>
      </c>
      <c r="H85" s="19">
        <v>1757.8</v>
      </c>
      <c r="I85" s="19">
        <v>1763.1</v>
      </c>
      <c r="J85" s="20">
        <v>1753.4</v>
      </c>
      <c r="K85" s="11">
        <f t="shared" si="4"/>
        <v>14000.8</v>
      </c>
      <c r="M85" s="21">
        <f t="shared" si="5"/>
        <v>45920</v>
      </c>
      <c r="N85" s="22">
        <v>6.09</v>
      </c>
    </row>
    <row r="86" spans="2:15" x14ac:dyDescent="0.3">
      <c r="B86" s="7">
        <v>45921</v>
      </c>
      <c r="C86" s="18">
        <v>2176</v>
      </c>
      <c r="D86" s="19">
        <v>2167.1</v>
      </c>
      <c r="E86" s="19">
        <v>1952.8</v>
      </c>
      <c r="F86" s="19">
        <v>1862.8</v>
      </c>
      <c r="G86" s="19">
        <v>2143.6999999999998</v>
      </c>
      <c r="H86" s="19">
        <v>2167.1999999999998</v>
      </c>
      <c r="I86" s="19">
        <v>2175.1999999999998</v>
      </c>
      <c r="J86" s="20">
        <v>2173.4</v>
      </c>
      <c r="K86" s="11">
        <f t="shared" si="4"/>
        <v>16818.200000000004</v>
      </c>
      <c r="M86" s="21">
        <f t="shared" si="5"/>
        <v>45921</v>
      </c>
      <c r="N86" s="22">
        <v>7.73</v>
      </c>
    </row>
    <row r="87" spans="2:15" x14ac:dyDescent="0.3">
      <c r="B87" s="7">
        <v>45922</v>
      </c>
      <c r="C87" s="18">
        <v>1279.0999999999999</v>
      </c>
      <c r="D87" s="19">
        <v>1274.4000000000001</v>
      </c>
      <c r="E87" s="19">
        <v>1132.5</v>
      </c>
      <c r="F87" s="19">
        <v>1074.0999999999999</v>
      </c>
      <c r="G87" s="19">
        <v>1263.0999999999999</v>
      </c>
      <c r="H87" s="19">
        <v>1267.8</v>
      </c>
      <c r="I87" s="19">
        <v>1281.3</v>
      </c>
      <c r="J87" s="20">
        <v>1271.9000000000001</v>
      </c>
      <c r="K87" s="11">
        <f t="shared" si="4"/>
        <v>9844.2000000000007</v>
      </c>
      <c r="M87" s="21">
        <f t="shared" si="5"/>
        <v>45922</v>
      </c>
      <c r="N87" s="22">
        <v>4.28</v>
      </c>
    </row>
    <row r="88" spans="2:15" x14ac:dyDescent="0.3">
      <c r="B88" s="7">
        <v>45923</v>
      </c>
      <c r="C88" s="18">
        <v>1329.6</v>
      </c>
      <c r="D88" s="19">
        <v>1328.2</v>
      </c>
      <c r="E88" s="19">
        <v>1324.4</v>
      </c>
      <c r="F88" s="19">
        <v>1319.1</v>
      </c>
      <c r="G88" s="19">
        <v>1309.5</v>
      </c>
      <c r="H88" s="19">
        <v>1311.8</v>
      </c>
      <c r="I88" s="19">
        <v>1314.5</v>
      </c>
      <c r="J88" s="20">
        <v>1309.5</v>
      </c>
      <c r="K88" s="11">
        <f t="shared" si="4"/>
        <v>10546.6</v>
      </c>
      <c r="M88" s="21">
        <f t="shared" si="5"/>
        <v>45923</v>
      </c>
      <c r="N88" s="22">
        <v>4.88</v>
      </c>
    </row>
    <row r="89" spans="2:15" x14ac:dyDescent="0.3">
      <c r="B89" s="7">
        <v>45924</v>
      </c>
      <c r="C89" s="18">
        <v>999.4</v>
      </c>
      <c r="D89" s="19">
        <v>1000.3</v>
      </c>
      <c r="E89" s="19">
        <v>998.6</v>
      </c>
      <c r="F89" s="19">
        <v>1003.7</v>
      </c>
      <c r="G89" s="19">
        <v>1003</v>
      </c>
      <c r="H89" s="19">
        <v>1007.9</v>
      </c>
      <c r="I89" s="19">
        <v>1011.6</v>
      </c>
      <c r="J89" s="20">
        <v>1007</v>
      </c>
      <c r="K89" s="11">
        <f t="shared" si="4"/>
        <v>8031.5</v>
      </c>
      <c r="M89" s="21">
        <f t="shared" si="5"/>
        <v>45924</v>
      </c>
      <c r="N89" s="22">
        <v>4.01</v>
      </c>
    </row>
    <row r="90" spans="2:15" x14ac:dyDescent="0.3">
      <c r="B90" s="7">
        <v>45925</v>
      </c>
      <c r="C90" s="18">
        <v>1930.7</v>
      </c>
      <c r="D90" s="19">
        <v>1929.5</v>
      </c>
      <c r="E90" s="19">
        <v>1920.6</v>
      </c>
      <c r="F90" s="19">
        <v>1929.5</v>
      </c>
      <c r="G90" s="19">
        <v>1926</v>
      </c>
      <c r="H90" s="19">
        <v>1934.2</v>
      </c>
      <c r="I90" s="19">
        <v>1947.7</v>
      </c>
      <c r="J90" s="20">
        <v>1932.1</v>
      </c>
      <c r="K90" s="11">
        <f t="shared" si="4"/>
        <v>15450.300000000001</v>
      </c>
      <c r="M90" s="21">
        <f t="shared" si="5"/>
        <v>45925</v>
      </c>
      <c r="N90" s="22">
        <v>7.41</v>
      </c>
    </row>
    <row r="91" spans="2:15" x14ac:dyDescent="0.3">
      <c r="B91" s="7">
        <v>45926</v>
      </c>
      <c r="C91" s="18">
        <v>2116.6</v>
      </c>
      <c r="D91" s="19">
        <v>2131</v>
      </c>
      <c r="E91" s="19">
        <v>2132.4</v>
      </c>
      <c r="F91" s="19">
        <v>2144.6999999999998</v>
      </c>
      <c r="G91" s="19">
        <v>2140.5</v>
      </c>
      <c r="H91" s="19">
        <v>2141.9</v>
      </c>
      <c r="I91" s="19">
        <v>2143.1999999999998</v>
      </c>
      <c r="J91" s="20">
        <v>2142.6</v>
      </c>
      <c r="K91" s="11">
        <f t="shared" si="4"/>
        <v>17092.899999999998</v>
      </c>
      <c r="M91" s="21">
        <f t="shared" si="5"/>
        <v>45926</v>
      </c>
      <c r="N91" s="22">
        <v>7.97</v>
      </c>
    </row>
    <row r="92" spans="2:15" x14ac:dyDescent="0.3">
      <c r="B92" s="7">
        <v>45927</v>
      </c>
      <c r="C92" s="18">
        <v>2461.3000000000002</v>
      </c>
      <c r="D92" s="19">
        <v>2454.6</v>
      </c>
      <c r="E92" s="19">
        <v>2443.6</v>
      </c>
      <c r="F92" s="19">
        <v>2441.6</v>
      </c>
      <c r="G92" s="19">
        <v>2428.4</v>
      </c>
      <c r="H92" s="19">
        <v>2449.4</v>
      </c>
      <c r="I92" s="19">
        <v>2449.6</v>
      </c>
      <c r="J92" s="20">
        <v>2447.3000000000002</v>
      </c>
      <c r="K92" s="11">
        <f t="shared" si="4"/>
        <v>19575.8</v>
      </c>
      <c r="M92" s="21">
        <f t="shared" si="5"/>
        <v>45927</v>
      </c>
      <c r="N92" s="22">
        <v>9.7100000000000009</v>
      </c>
    </row>
    <row r="93" spans="2:15" x14ac:dyDescent="0.3">
      <c r="B93" s="7">
        <v>45928</v>
      </c>
      <c r="C93" s="18">
        <v>2459.1999999999998</v>
      </c>
      <c r="D93" s="19">
        <v>2455.5</v>
      </c>
      <c r="E93" s="19">
        <v>2435.8000000000002</v>
      </c>
      <c r="F93" s="19">
        <v>2430.6999999999998</v>
      </c>
      <c r="G93" s="19">
        <v>2427.1</v>
      </c>
      <c r="H93" s="19">
        <v>2455.5</v>
      </c>
      <c r="I93" s="19">
        <v>2454.1999999999998</v>
      </c>
      <c r="J93" s="20">
        <v>2451.9</v>
      </c>
      <c r="K93" s="11">
        <f t="shared" si="4"/>
        <v>19569.900000000001</v>
      </c>
      <c r="M93" s="21">
        <f t="shared" si="5"/>
        <v>45928</v>
      </c>
      <c r="N93" s="22">
        <v>9.39</v>
      </c>
    </row>
    <row r="94" spans="2:15" x14ac:dyDescent="0.3">
      <c r="B94" s="7">
        <v>45929</v>
      </c>
      <c r="C94" s="18">
        <v>2458.5</v>
      </c>
      <c r="D94" s="19">
        <v>2454.1999999999998</v>
      </c>
      <c r="E94" s="19">
        <v>2436.9</v>
      </c>
      <c r="F94" s="19">
        <v>2432.6</v>
      </c>
      <c r="G94" s="19">
        <v>2426.1</v>
      </c>
      <c r="H94" s="19">
        <v>2451.1999999999998</v>
      </c>
      <c r="I94" s="19">
        <v>2450.3000000000002</v>
      </c>
      <c r="J94" s="20">
        <v>2446.6999999999998</v>
      </c>
      <c r="K94" s="11">
        <f t="shared" si="4"/>
        <v>19556.5</v>
      </c>
      <c r="M94" s="21">
        <f t="shared" si="5"/>
        <v>45929</v>
      </c>
      <c r="N94" s="22">
        <v>9.35</v>
      </c>
    </row>
    <row r="95" spans="2:15" x14ac:dyDescent="0.3">
      <c r="B95" s="7">
        <v>45930</v>
      </c>
      <c r="C95" s="18">
        <v>2302.9</v>
      </c>
      <c r="D95" s="19">
        <v>2292.6999999999998</v>
      </c>
      <c r="E95" s="19">
        <v>2283.1</v>
      </c>
      <c r="F95" s="19">
        <v>2277.8000000000002</v>
      </c>
      <c r="G95" s="19">
        <v>2273.4</v>
      </c>
      <c r="H95" s="19">
        <v>2296.5</v>
      </c>
      <c r="I95" s="19">
        <v>2291.1999999999998</v>
      </c>
      <c r="J95" s="20">
        <v>2298.5</v>
      </c>
      <c r="K95" s="11">
        <f t="shared" si="4"/>
        <v>18316.099999999999</v>
      </c>
      <c r="M95" s="21">
        <f t="shared" si="5"/>
        <v>45930</v>
      </c>
      <c r="N95" s="22">
        <v>9.5399999999999991</v>
      </c>
    </row>
    <row r="96" spans="2:15" x14ac:dyDescent="0.3">
      <c r="B96" s="7">
        <v>45931</v>
      </c>
      <c r="C96" s="18">
        <v>2220.1</v>
      </c>
      <c r="D96" s="19">
        <v>2205</v>
      </c>
      <c r="E96" s="19">
        <v>2206.8000000000002</v>
      </c>
      <c r="F96" s="19">
        <v>2192.1</v>
      </c>
      <c r="G96" s="19">
        <v>2197.3000000000002</v>
      </c>
      <c r="H96" s="19">
        <v>2223.5</v>
      </c>
      <c r="I96" s="19">
        <v>2212.5</v>
      </c>
      <c r="J96" s="20">
        <v>2221.1999999999998</v>
      </c>
      <c r="K96" s="11">
        <f t="shared" si="4"/>
        <v>17678.5</v>
      </c>
      <c r="M96" s="21">
        <f t="shared" si="5"/>
        <v>45931</v>
      </c>
      <c r="N96" s="22">
        <v>8.32</v>
      </c>
      <c r="O96" s="25"/>
    </row>
    <row r="97" spans="2:15" x14ac:dyDescent="0.3">
      <c r="B97" s="7">
        <v>45932</v>
      </c>
      <c r="C97" s="18">
        <v>2560.9</v>
      </c>
      <c r="D97" s="19">
        <v>2553.6999999999998</v>
      </c>
      <c r="E97" s="19">
        <v>2540.9</v>
      </c>
      <c r="F97" s="19">
        <v>2533.6</v>
      </c>
      <c r="G97" s="19">
        <v>2530.6999999999998</v>
      </c>
      <c r="H97" s="19">
        <v>2548</v>
      </c>
      <c r="I97" s="19">
        <v>2551.4</v>
      </c>
      <c r="J97" s="20">
        <v>2549.8000000000002</v>
      </c>
      <c r="K97" s="11">
        <f t="shared" si="4"/>
        <v>20369</v>
      </c>
      <c r="M97" s="21">
        <f t="shared" si="5"/>
        <v>45932</v>
      </c>
      <c r="N97" s="26">
        <v>10.01</v>
      </c>
      <c r="O97" s="25"/>
    </row>
    <row r="98" spans="2:15" x14ac:dyDescent="0.3">
      <c r="B98" s="7">
        <v>45933</v>
      </c>
      <c r="C98" s="18">
        <v>2385</v>
      </c>
      <c r="D98" s="19">
        <v>2374.4</v>
      </c>
      <c r="E98" s="19">
        <v>2364.1</v>
      </c>
      <c r="F98" s="19">
        <v>2359.4</v>
      </c>
      <c r="G98" s="19">
        <v>2356.5</v>
      </c>
      <c r="H98" s="19">
        <v>2372.9</v>
      </c>
      <c r="I98" s="19">
        <v>2375.1</v>
      </c>
      <c r="J98" s="20">
        <v>2372.9</v>
      </c>
      <c r="K98" s="11">
        <f t="shared" si="4"/>
        <v>18960.3</v>
      </c>
      <c r="M98" s="21">
        <f t="shared" si="5"/>
        <v>45933</v>
      </c>
      <c r="N98" s="26">
        <v>9.39</v>
      </c>
      <c r="O98" s="25"/>
    </row>
    <row r="99" spans="2:15" x14ac:dyDescent="0.3">
      <c r="B99" s="7">
        <v>45934</v>
      </c>
      <c r="C99" s="18">
        <v>2561.5</v>
      </c>
      <c r="D99" s="19">
        <v>2556.1999999999998</v>
      </c>
      <c r="E99" s="19">
        <v>2542.3000000000002</v>
      </c>
      <c r="F99" s="19">
        <v>2537.4</v>
      </c>
      <c r="G99" s="19">
        <v>2531.9</v>
      </c>
      <c r="H99" s="19">
        <v>2553.9</v>
      </c>
      <c r="I99" s="19">
        <v>2559.6999999999998</v>
      </c>
      <c r="J99" s="20">
        <v>2564</v>
      </c>
      <c r="K99" s="11">
        <f t="shared" si="4"/>
        <v>20406.899999999998</v>
      </c>
      <c r="M99" s="21">
        <f t="shared" si="5"/>
        <v>45934</v>
      </c>
      <c r="N99" s="26">
        <v>9.77</v>
      </c>
      <c r="O99" s="25"/>
    </row>
    <row r="100" spans="2:15" x14ac:dyDescent="0.3">
      <c r="B100" s="7">
        <v>45935</v>
      </c>
      <c r="C100" s="18">
        <v>2588.1999999999998</v>
      </c>
      <c r="D100" s="19">
        <v>2577.1999999999998</v>
      </c>
      <c r="E100" s="19">
        <v>2559.1999999999998</v>
      </c>
      <c r="F100" s="19">
        <v>2557.5</v>
      </c>
      <c r="G100" s="19">
        <v>2553.9</v>
      </c>
      <c r="H100" s="19">
        <v>2576.1999999999998</v>
      </c>
      <c r="I100" s="19">
        <v>2576.4</v>
      </c>
      <c r="J100" s="20">
        <v>2580.1999999999998</v>
      </c>
      <c r="K100" s="11">
        <f t="shared" si="4"/>
        <v>20568.8</v>
      </c>
      <c r="M100" s="21">
        <f t="shared" si="5"/>
        <v>45935</v>
      </c>
      <c r="N100" s="26">
        <v>9.8800000000000008</v>
      </c>
      <c r="O100" s="25"/>
    </row>
    <row r="101" spans="2:15" x14ac:dyDescent="0.3">
      <c r="B101" s="7">
        <v>45936</v>
      </c>
      <c r="C101" s="18">
        <v>2222.3000000000002</v>
      </c>
      <c r="D101" s="19">
        <v>2216.1</v>
      </c>
      <c r="E101" s="19">
        <v>2202.6</v>
      </c>
      <c r="F101" s="19">
        <v>2196.6999999999998</v>
      </c>
      <c r="G101" s="19">
        <v>2190.8000000000002</v>
      </c>
      <c r="H101" s="19">
        <v>2225</v>
      </c>
      <c r="I101" s="19">
        <v>2222.3000000000002</v>
      </c>
      <c r="J101" s="20">
        <v>2228.9</v>
      </c>
      <c r="K101" s="11">
        <f t="shared" si="4"/>
        <v>17704.7</v>
      </c>
      <c r="M101" s="21">
        <f t="shared" si="5"/>
        <v>45936</v>
      </c>
      <c r="N101" s="26">
        <v>8.3000000000000007</v>
      </c>
      <c r="O101" s="25"/>
    </row>
    <row r="102" spans="2:15" x14ac:dyDescent="0.3">
      <c r="B102" s="7">
        <v>45937</v>
      </c>
      <c r="C102" s="18">
        <v>1839.6</v>
      </c>
      <c r="D102" s="19">
        <v>1831.7</v>
      </c>
      <c r="E102" s="19">
        <v>1817.8</v>
      </c>
      <c r="F102" s="19">
        <v>1815.8</v>
      </c>
      <c r="G102" s="19">
        <v>1812.5</v>
      </c>
      <c r="H102" s="19">
        <v>1842.3</v>
      </c>
      <c r="I102" s="19">
        <v>1821.7</v>
      </c>
      <c r="J102" s="20">
        <v>1842.3</v>
      </c>
      <c r="K102" s="11">
        <f t="shared" si="4"/>
        <v>14623.7</v>
      </c>
      <c r="M102" s="21">
        <f t="shared" si="5"/>
        <v>45937</v>
      </c>
      <c r="N102" s="26">
        <v>7.02</v>
      </c>
      <c r="O102" s="25"/>
    </row>
    <row r="103" spans="2:15" x14ac:dyDescent="0.3">
      <c r="B103" s="7">
        <v>45938</v>
      </c>
      <c r="C103" s="18">
        <v>1811.2</v>
      </c>
      <c r="D103" s="19">
        <v>1805.8</v>
      </c>
      <c r="E103" s="19">
        <v>1790.4</v>
      </c>
      <c r="F103" s="19">
        <v>1787.9</v>
      </c>
      <c r="G103" s="19">
        <v>1779.7</v>
      </c>
      <c r="H103" s="19">
        <v>1803.9</v>
      </c>
      <c r="I103" s="19">
        <v>1715.4</v>
      </c>
      <c r="J103" s="20">
        <v>1791.4</v>
      </c>
      <c r="K103" s="11">
        <f t="shared" si="4"/>
        <v>14285.699999999999</v>
      </c>
      <c r="M103" s="21">
        <f t="shared" si="5"/>
        <v>45938</v>
      </c>
      <c r="N103" s="26">
        <v>6.59</v>
      </c>
      <c r="O103" s="25"/>
    </row>
    <row r="104" spans="2:15" x14ac:dyDescent="0.3">
      <c r="B104" s="7">
        <v>45939</v>
      </c>
      <c r="C104" s="18">
        <v>2393.5</v>
      </c>
      <c r="D104" s="19">
        <v>2385.1999999999998</v>
      </c>
      <c r="E104" s="19">
        <v>2377.6999999999998</v>
      </c>
      <c r="F104" s="19">
        <v>2370.6999999999998</v>
      </c>
      <c r="G104" s="19">
        <v>2372.1</v>
      </c>
      <c r="H104" s="19">
        <v>2382.1999999999998</v>
      </c>
      <c r="I104" s="19">
        <v>2389</v>
      </c>
      <c r="J104" s="20">
        <v>2390.9</v>
      </c>
      <c r="K104" s="11">
        <f t="shared" si="4"/>
        <v>19061.3</v>
      </c>
      <c r="M104" s="21">
        <f t="shared" si="5"/>
        <v>45939</v>
      </c>
      <c r="N104" s="26">
        <v>8.8699999999999992</v>
      </c>
      <c r="O104" s="25"/>
    </row>
    <row r="105" spans="2:15" x14ac:dyDescent="0.3">
      <c r="B105" s="7">
        <v>45940</v>
      </c>
      <c r="C105" s="18">
        <v>2156.4</v>
      </c>
      <c r="D105" s="19">
        <v>2144.9</v>
      </c>
      <c r="E105" s="19">
        <v>2129</v>
      </c>
      <c r="F105" s="19">
        <v>2120.1999999999998</v>
      </c>
      <c r="G105" s="19">
        <v>2114.8000000000002</v>
      </c>
      <c r="H105" s="19">
        <v>2137.1</v>
      </c>
      <c r="I105" s="19">
        <v>2140.1999999999998</v>
      </c>
      <c r="J105" s="20">
        <v>2132.6999999999998</v>
      </c>
      <c r="K105" s="11">
        <f t="shared" si="4"/>
        <v>17075.3</v>
      </c>
      <c r="M105" s="21">
        <f t="shared" si="5"/>
        <v>45940</v>
      </c>
      <c r="N105" s="26">
        <v>8.2100000000000009</v>
      </c>
      <c r="O105" s="25"/>
    </row>
    <row r="106" spans="2:15" x14ac:dyDescent="0.3">
      <c r="B106" s="7">
        <v>45941</v>
      </c>
      <c r="C106" s="18">
        <v>1266.5999999999999</v>
      </c>
      <c r="D106" s="19">
        <v>1331.8</v>
      </c>
      <c r="E106" s="19">
        <v>1329.2</v>
      </c>
      <c r="F106" s="19">
        <v>1332.3</v>
      </c>
      <c r="G106" s="19">
        <v>1210.4000000000001</v>
      </c>
      <c r="H106" s="19">
        <v>1292.3</v>
      </c>
      <c r="I106" s="19">
        <v>1275.9000000000001</v>
      </c>
      <c r="J106" s="20">
        <v>1270.4000000000001</v>
      </c>
      <c r="K106" s="11">
        <f t="shared" si="4"/>
        <v>10308.9</v>
      </c>
      <c r="M106" s="21">
        <f t="shared" si="5"/>
        <v>45941</v>
      </c>
      <c r="N106" s="26">
        <v>5.77</v>
      </c>
      <c r="O106" s="25"/>
    </row>
    <row r="107" spans="2:15" x14ac:dyDescent="0.3">
      <c r="B107" s="7">
        <v>45942</v>
      </c>
      <c r="C107" s="18">
        <v>1171.5999999999999</v>
      </c>
      <c r="D107" s="19">
        <v>1177.3</v>
      </c>
      <c r="E107" s="19">
        <v>1180.0999999999999</v>
      </c>
      <c r="F107" s="19">
        <v>1178.4000000000001</v>
      </c>
      <c r="G107" s="19">
        <v>1182.4000000000001</v>
      </c>
      <c r="H107" s="19">
        <v>1186.5</v>
      </c>
      <c r="I107" s="19">
        <v>1188.5</v>
      </c>
      <c r="J107" s="20">
        <v>1176.0999999999999</v>
      </c>
      <c r="K107" s="11">
        <f t="shared" si="4"/>
        <v>9440.9</v>
      </c>
      <c r="M107" s="21">
        <f t="shared" si="5"/>
        <v>45942</v>
      </c>
      <c r="N107" s="26">
        <v>4.32</v>
      </c>
      <c r="O107" s="25"/>
    </row>
    <row r="108" spans="2:15" x14ac:dyDescent="0.3">
      <c r="B108" s="7">
        <v>45943</v>
      </c>
      <c r="C108" s="18">
        <v>1701.9</v>
      </c>
      <c r="D108" s="19">
        <v>1698</v>
      </c>
      <c r="E108" s="19">
        <v>1688.5</v>
      </c>
      <c r="F108" s="19">
        <v>1684.5</v>
      </c>
      <c r="G108" s="19">
        <v>1686.6</v>
      </c>
      <c r="H108" s="19">
        <v>1689.1</v>
      </c>
      <c r="I108" s="19">
        <v>1691.8</v>
      </c>
      <c r="J108" s="20">
        <v>1682.7</v>
      </c>
      <c r="K108" s="11">
        <f t="shared" si="4"/>
        <v>13523.1</v>
      </c>
      <c r="M108" s="21">
        <f t="shared" si="5"/>
        <v>45943</v>
      </c>
      <c r="N108" s="26">
        <v>6.58</v>
      </c>
      <c r="O108" s="25"/>
    </row>
    <row r="109" spans="2:15" x14ac:dyDescent="0.3">
      <c r="B109" s="7">
        <v>45944</v>
      </c>
      <c r="C109" s="18">
        <v>1303.7</v>
      </c>
      <c r="D109" s="19">
        <v>1302.4000000000001</v>
      </c>
      <c r="E109" s="19">
        <v>1298.8</v>
      </c>
      <c r="F109" s="19">
        <v>1301.0999999999999</v>
      </c>
      <c r="G109" s="19">
        <v>1299.8</v>
      </c>
      <c r="H109" s="19">
        <v>1297.3</v>
      </c>
      <c r="I109" s="19">
        <v>1296.9000000000001</v>
      </c>
      <c r="J109" s="20">
        <v>1287.5</v>
      </c>
      <c r="K109" s="11">
        <f t="shared" si="4"/>
        <v>10387.5</v>
      </c>
      <c r="M109" s="21">
        <f t="shared" si="5"/>
        <v>45944</v>
      </c>
      <c r="N109" s="26">
        <v>5.16</v>
      </c>
      <c r="O109" s="25"/>
    </row>
    <row r="110" spans="2:15" x14ac:dyDescent="0.3">
      <c r="B110" s="7">
        <v>45945</v>
      </c>
      <c r="C110" s="18">
        <v>1593.9</v>
      </c>
      <c r="D110" s="19">
        <v>1594.2</v>
      </c>
      <c r="E110" s="19">
        <v>1587.6</v>
      </c>
      <c r="F110" s="19">
        <v>1586.5</v>
      </c>
      <c r="G110" s="19">
        <v>1586.3</v>
      </c>
      <c r="H110" s="19">
        <v>1588.5</v>
      </c>
      <c r="I110" s="19">
        <v>1585.2</v>
      </c>
      <c r="J110" s="20">
        <v>1570.9</v>
      </c>
      <c r="K110" s="11">
        <f t="shared" si="4"/>
        <v>12693.1</v>
      </c>
      <c r="M110" s="21">
        <f t="shared" si="5"/>
        <v>45945</v>
      </c>
      <c r="N110" s="26">
        <v>6.22</v>
      </c>
      <c r="O110" s="25"/>
    </row>
    <row r="111" spans="2:15" x14ac:dyDescent="0.3">
      <c r="B111" s="7">
        <v>45946</v>
      </c>
      <c r="C111" s="18">
        <v>1451.9</v>
      </c>
      <c r="D111" s="19">
        <v>1446.4</v>
      </c>
      <c r="E111" s="19">
        <v>1436.5</v>
      </c>
      <c r="F111" s="19">
        <v>1436.6</v>
      </c>
      <c r="G111" s="19">
        <v>1436.8</v>
      </c>
      <c r="H111" s="19">
        <v>1439.5</v>
      </c>
      <c r="I111" s="19">
        <v>1442.7</v>
      </c>
      <c r="J111" s="20">
        <v>1439.1</v>
      </c>
      <c r="K111" s="11">
        <f t="shared" si="4"/>
        <v>11529.500000000002</v>
      </c>
      <c r="M111" s="21">
        <f t="shared" si="5"/>
        <v>45946</v>
      </c>
      <c r="N111" s="26">
        <v>5.44</v>
      </c>
      <c r="O111" s="25"/>
    </row>
    <row r="112" spans="2:15" x14ac:dyDescent="0.3">
      <c r="B112" s="7">
        <v>45947</v>
      </c>
      <c r="C112" s="18">
        <v>2071.6999999999998</v>
      </c>
      <c r="D112" s="19">
        <v>2064.6999999999998</v>
      </c>
      <c r="E112" s="19">
        <v>2055.4</v>
      </c>
      <c r="F112" s="19">
        <v>2051</v>
      </c>
      <c r="G112" s="19">
        <v>2059.8000000000002</v>
      </c>
      <c r="H112" s="19">
        <v>2074.1999999999998</v>
      </c>
      <c r="I112" s="19">
        <v>2084.5</v>
      </c>
      <c r="J112" s="20">
        <v>2076.6999999999998</v>
      </c>
      <c r="K112" s="11">
        <f t="shared" si="4"/>
        <v>16538</v>
      </c>
      <c r="M112" s="21">
        <f t="shared" si="5"/>
        <v>45947</v>
      </c>
      <c r="N112" s="26">
        <v>7.86</v>
      </c>
      <c r="O112" s="25"/>
    </row>
    <row r="113" spans="2:15" x14ac:dyDescent="0.3">
      <c r="B113" s="7">
        <v>45948</v>
      </c>
      <c r="C113" s="18">
        <v>1096.8</v>
      </c>
      <c r="D113" s="19">
        <v>1098.2</v>
      </c>
      <c r="E113" s="19">
        <v>1095.0999999999999</v>
      </c>
      <c r="F113" s="19">
        <v>1098</v>
      </c>
      <c r="G113" s="19">
        <v>1099.9000000000001</v>
      </c>
      <c r="H113" s="19">
        <v>1103</v>
      </c>
      <c r="I113" s="19">
        <v>1105</v>
      </c>
      <c r="J113" s="20">
        <v>1098.5</v>
      </c>
      <c r="K113" s="11">
        <f t="shared" si="4"/>
        <v>8794.5</v>
      </c>
      <c r="M113" s="21">
        <f t="shared" si="5"/>
        <v>45948</v>
      </c>
      <c r="N113" s="26">
        <v>3.85</v>
      </c>
      <c r="O113" s="25"/>
    </row>
    <row r="114" spans="2:15" x14ac:dyDescent="0.3">
      <c r="B114" s="7">
        <v>45949</v>
      </c>
      <c r="C114" s="18">
        <v>1376.5</v>
      </c>
      <c r="D114" s="19">
        <v>1377.7</v>
      </c>
      <c r="E114" s="19">
        <v>1371.4</v>
      </c>
      <c r="F114" s="19">
        <v>1371.9</v>
      </c>
      <c r="G114" s="19">
        <v>1372.5</v>
      </c>
      <c r="H114" s="19">
        <v>1372.4</v>
      </c>
      <c r="I114" s="19">
        <v>1363.7</v>
      </c>
      <c r="J114" s="20">
        <v>1366.8</v>
      </c>
      <c r="K114" s="11">
        <f t="shared" si="4"/>
        <v>10972.9</v>
      </c>
      <c r="M114" s="21">
        <f t="shared" si="5"/>
        <v>45949</v>
      </c>
      <c r="N114" s="26">
        <v>5.18</v>
      </c>
      <c r="O114" s="25"/>
    </row>
    <row r="115" spans="2:15" x14ac:dyDescent="0.3">
      <c r="B115" s="7">
        <v>45950</v>
      </c>
      <c r="C115" s="18">
        <v>1188.5</v>
      </c>
      <c r="D115" s="19">
        <v>1188.0999999999999</v>
      </c>
      <c r="E115" s="19">
        <v>1183</v>
      </c>
      <c r="F115" s="19">
        <v>1184.4000000000001</v>
      </c>
      <c r="G115" s="19">
        <v>1180.0999999999999</v>
      </c>
      <c r="H115" s="19">
        <v>1185.0999999999999</v>
      </c>
      <c r="I115" s="19">
        <v>1172.5999999999999</v>
      </c>
      <c r="J115" s="20">
        <v>1170.9000000000001</v>
      </c>
      <c r="K115" s="11">
        <f t="shared" si="4"/>
        <v>9452.7000000000007</v>
      </c>
      <c r="M115" s="21">
        <f t="shared" si="5"/>
        <v>45950</v>
      </c>
      <c r="N115" s="26">
        <v>4.71</v>
      </c>
      <c r="O115" s="25"/>
    </row>
    <row r="116" spans="2:15" x14ac:dyDescent="0.3">
      <c r="B116" s="7">
        <v>45951</v>
      </c>
      <c r="C116" s="18">
        <v>766.9</v>
      </c>
      <c r="D116" s="19">
        <v>767.7</v>
      </c>
      <c r="E116" s="19">
        <v>763.7</v>
      </c>
      <c r="F116" s="19">
        <v>764.5</v>
      </c>
      <c r="G116" s="19">
        <v>762.3</v>
      </c>
      <c r="H116" s="19">
        <v>774.3</v>
      </c>
      <c r="I116" s="19">
        <v>762.8</v>
      </c>
      <c r="J116" s="20">
        <v>772.3</v>
      </c>
      <c r="K116" s="11">
        <f t="shared" si="4"/>
        <v>6134.5000000000009</v>
      </c>
      <c r="M116" s="21">
        <f t="shared" si="5"/>
        <v>45951</v>
      </c>
      <c r="N116" s="26">
        <v>2.74</v>
      </c>
      <c r="O116" s="25"/>
    </row>
    <row r="117" spans="2:15" x14ac:dyDescent="0.3">
      <c r="B117" s="7">
        <v>45952</v>
      </c>
      <c r="C117" s="18">
        <v>2384.8000000000002</v>
      </c>
      <c r="D117" s="19">
        <v>2381.9</v>
      </c>
      <c r="E117" s="19">
        <v>2369.6999999999998</v>
      </c>
      <c r="F117" s="19">
        <v>2354.1999999999998</v>
      </c>
      <c r="G117" s="27">
        <v>2360</v>
      </c>
      <c r="H117" s="19">
        <v>2361.6999999999998</v>
      </c>
      <c r="I117" s="19">
        <v>2359.6</v>
      </c>
      <c r="J117" s="20">
        <v>2344</v>
      </c>
      <c r="K117" s="11">
        <f t="shared" si="4"/>
        <v>18915.899999999998</v>
      </c>
      <c r="M117" s="21">
        <f t="shared" si="5"/>
        <v>45952</v>
      </c>
      <c r="N117" s="26">
        <v>9.86</v>
      </c>
      <c r="O117" s="25"/>
    </row>
    <row r="118" spans="2:15" x14ac:dyDescent="0.3">
      <c r="B118" s="7">
        <v>45953</v>
      </c>
      <c r="C118" s="18">
        <v>2399.6</v>
      </c>
      <c r="D118" s="19">
        <v>2384.1</v>
      </c>
      <c r="E118" s="19">
        <v>2363.4</v>
      </c>
      <c r="F118" s="19">
        <v>2329.6999999999998</v>
      </c>
      <c r="G118" s="19">
        <v>2348</v>
      </c>
      <c r="H118" s="19">
        <v>2347.9</v>
      </c>
      <c r="I118" s="19">
        <v>2345.1</v>
      </c>
      <c r="J118" s="20">
        <v>2347.1999999999998</v>
      </c>
      <c r="K118" s="11">
        <f t="shared" si="4"/>
        <v>18865</v>
      </c>
      <c r="M118" s="21">
        <f t="shared" si="5"/>
        <v>45953</v>
      </c>
      <c r="N118" s="26">
        <v>9.66</v>
      </c>
      <c r="O118" s="25"/>
    </row>
    <row r="119" spans="2:15" x14ac:dyDescent="0.3">
      <c r="B119" s="7">
        <v>45954</v>
      </c>
      <c r="C119" s="18">
        <v>1930.6</v>
      </c>
      <c r="D119" s="19">
        <v>1914.2</v>
      </c>
      <c r="E119" s="19">
        <v>1902.9</v>
      </c>
      <c r="F119" s="19">
        <v>1859.1</v>
      </c>
      <c r="G119" s="19">
        <v>1892.9</v>
      </c>
      <c r="H119" s="19">
        <v>1921.6</v>
      </c>
      <c r="I119" s="19">
        <v>1928.2</v>
      </c>
      <c r="J119" s="20">
        <v>1929</v>
      </c>
      <c r="K119" s="11">
        <f t="shared" si="4"/>
        <v>15278.500000000002</v>
      </c>
      <c r="M119" s="21">
        <f t="shared" si="5"/>
        <v>45954</v>
      </c>
      <c r="N119" s="26">
        <v>7.77</v>
      </c>
      <c r="O119" s="25"/>
    </row>
    <row r="120" spans="2:15" x14ac:dyDescent="0.3">
      <c r="B120" s="7">
        <v>45955</v>
      </c>
      <c r="C120" s="18">
        <v>1818.4</v>
      </c>
      <c r="D120" s="19">
        <v>1815.9</v>
      </c>
      <c r="E120" s="19">
        <v>1802.8</v>
      </c>
      <c r="F120" s="19">
        <v>1794.3</v>
      </c>
      <c r="G120" s="19">
        <v>1787.8</v>
      </c>
      <c r="H120" s="19">
        <v>1795.5</v>
      </c>
      <c r="I120" s="19">
        <v>1802.1</v>
      </c>
      <c r="J120" s="20">
        <v>1798.6</v>
      </c>
      <c r="K120" s="11">
        <f t="shared" si="4"/>
        <v>14415.400000000001</v>
      </c>
      <c r="M120" s="21">
        <f t="shared" si="5"/>
        <v>45955</v>
      </c>
      <c r="N120" s="26">
        <v>6.89</v>
      </c>
      <c r="O120" s="25"/>
    </row>
    <row r="121" spans="2:15" x14ac:dyDescent="0.3">
      <c r="B121" s="7">
        <v>45956</v>
      </c>
      <c r="C121" s="18">
        <v>2048.1</v>
      </c>
      <c r="D121" s="19">
        <v>2043.8</v>
      </c>
      <c r="E121" s="19">
        <v>2026.1</v>
      </c>
      <c r="F121" s="19">
        <v>2023.8</v>
      </c>
      <c r="G121" s="19">
        <v>2031.1</v>
      </c>
      <c r="H121" s="19">
        <v>2043.2</v>
      </c>
      <c r="I121" s="19">
        <v>2036.4</v>
      </c>
      <c r="J121" s="20">
        <v>2015.6</v>
      </c>
      <c r="K121" s="11">
        <f t="shared" si="4"/>
        <v>16268.1</v>
      </c>
      <c r="M121" s="21">
        <f t="shared" si="5"/>
        <v>45956</v>
      </c>
      <c r="N121" s="26">
        <v>7.83</v>
      </c>
      <c r="O121" s="25"/>
    </row>
    <row r="122" spans="2:15" x14ac:dyDescent="0.3">
      <c r="B122" s="7">
        <v>45957</v>
      </c>
      <c r="C122" s="18">
        <v>1783.5</v>
      </c>
      <c r="D122" s="19">
        <v>1779.4</v>
      </c>
      <c r="E122" s="19">
        <v>1774.1</v>
      </c>
      <c r="F122" s="19">
        <v>1769.2</v>
      </c>
      <c r="G122" s="19">
        <v>1768.8</v>
      </c>
      <c r="H122" s="19">
        <v>1773.1</v>
      </c>
      <c r="I122" s="19">
        <v>1778.7</v>
      </c>
      <c r="J122" s="20">
        <v>1787.7</v>
      </c>
      <c r="K122" s="11">
        <f t="shared" si="4"/>
        <v>14214.500000000002</v>
      </c>
      <c r="M122" s="21">
        <f t="shared" si="5"/>
        <v>45957</v>
      </c>
      <c r="N122" s="26">
        <v>7.02</v>
      </c>
      <c r="O122" s="25"/>
    </row>
    <row r="123" spans="2:15" x14ac:dyDescent="0.3">
      <c r="B123" s="7">
        <v>45958</v>
      </c>
      <c r="C123" s="18">
        <v>1582.4</v>
      </c>
      <c r="D123" s="19">
        <v>1584.5</v>
      </c>
      <c r="E123" s="19">
        <v>1577.4</v>
      </c>
      <c r="F123" s="19">
        <v>1575.5</v>
      </c>
      <c r="G123" s="19">
        <v>1578.9</v>
      </c>
      <c r="H123" s="19">
        <v>1584.2</v>
      </c>
      <c r="I123" s="19">
        <v>1586.5</v>
      </c>
      <c r="J123" s="20">
        <v>1587.3</v>
      </c>
      <c r="K123" s="11">
        <f t="shared" si="4"/>
        <v>12656.7</v>
      </c>
      <c r="M123" s="21">
        <f t="shared" si="5"/>
        <v>45958</v>
      </c>
      <c r="N123" s="26">
        <v>6.04</v>
      </c>
      <c r="O123" s="25"/>
    </row>
    <row r="124" spans="2:15" x14ac:dyDescent="0.3">
      <c r="B124" s="7">
        <v>45959</v>
      </c>
      <c r="C124" s="18">
        <v>1542.5</v>
      </c>
      <c r="D124" s="19">
        <v>1536</v>
      </c>
      <c r="E124" s="19">
        <v>1531.3</v>
      </c>
      <c r="F124" s="19">
        <v>1522.6</v>
      </c>
      <c r="G124" s="19">
        <v>1519.4</v>
      </c>
      <c r="H124" s="19">
        <v>1530.6</v>
      </c>
      <c r="I124" s="19">
        <v>1530</v>
      </c>
      <c r="J124" s="20">
        <v>1530.3</v>
      </c>
      <c r="K124" s="11">
        <f t="shared" si="4"/>
        <v>12242.699999999999</v>
      </c>
      <c r="M124" s="21">
        <f t="shared" si="5"/>
        <v>45959</v>
      </c>
      <c r="N124" s="26">
        <v>5.98</v>
      </c>
      <c r="O124" s="25"/>
    </row>
    <row r="125" spans="2:15" x14ac:dyDescent="0.3">
      <c r="B125" s="7">
        <v>45960</v>
      </c>
      <c r="C125" s="18">
        <v>1160.8</v>
      </c>
      <c r="D125" s="19">
        <v>1162.2</v>
      </c>
      <c r="E125" s="19">
        <v>1162.3</v>
      </c>
      <c r="F125" s="19">
        <v>1166.9000000000001</v>
      </c>
      <c r="G125" s="19">
        <v>1166.8</v>
      </c>
      <c r="H125" s="19">
        <v>1171.0999999999999</v>
      </c>
      <c r="I125" s="19">
        <v>1173.0999999999999</v>
      </c>
      <c r="J125" s="20">
        <v>1167.7</v>
      </c>
      <c r="K125" s="11">
        <f t="shared" si="4"/>
        <v>9330.9000000000015</v>
      </c>
      <c r="M125" s="21">
        <f t="shared" si="5"/>
        <v>45960</v>
      </c>
      <c r="N125" s="26">
        <v>4.32</v>
      </c>
      <c r="O125" s="25"/>
    </row>
    <row r="126" spans="2:15" x14ac:dyDescent="0.3">
      <c r="B126" s="7">
        <v>45961</v>
      </c>
      <c r="C126" s="18">
        <v>488.4</v>
      </c>
      <c r="D126" s="19">
        <v>487.5</v>
      </c>
      <c r="E126" s="19">
        <v>486</v>
      </c>
      <c r="F126" s="19">
        <v>486.7</v>
      </c>
      <c r="G126" s="19">
        <v>484.9</v>
      </c>
      <c r="H126" s="19">
        <v>487.5</v>
      </c>
      <c r="I126" s="19">
        <v>487.8</v>
      </c>
      <c r="J126" s="20">
        <v>485.4</v>
      </c>
      <c r="K126" s="11">
        <f t="shared" si="4"/>
        <v>3894.2000000000003</v>
      </c>
      <c r="M126" s="21">
        <f t="shared" si="5"/>
        <v>45961</v>
      </c>
      <c r="N126" s="26">
        <v>1.52</v>
      </c>
      <c r="O126" s="25"/>
    </row>
    <row r="127" spans="2:15" x14ac:dyDescent="0.3">
      <c r="B127" s="7">
        <v>45962</v>
      </c>
      <c r="C127" s="18">
        <v>1440.1</v>
      </c>
      <c r="D127" s="19">
        <v>1433.7</v>
      </c>
      <c r="E127" s="19">
        <v>1441.1</v>
      </c>
      <c r="F127" s="19">
        <v>1440.8</v>
      </c>
      <c r="G127" s="19">
        <v>1444</v>
      </c>
      <c r="H127" s="19">
        <v>1446</v>
      </c>
      <c r="I127" s="19">
        <v>1446.9</v>
      </c>
      <c r="J127" s="20">
        <v>1434.1</v>
      </c>
      <c r="K127" s="11">
        <f t="shared" si="4"/>
        <v>11526.7</v>
      </c>
      <c r="M127" s="21">
        <f t="shared" si="5"/>
        <v>45962</v>
      </c>
      <c r="N127" s="26">
        <v>5.2691984845382107</v>
      </c>
      <c r="O127" s="25"/>
    </row>
    <row r="128" spans="2:15" x14ac:dyDescent="0.3">
      <c r="B128" s="7">
        <v>45963</v>
      </c>
      <c r="C128" s="18">
        <v>1629</v>
      </c>
      <c r="D128" s="19">
        <v>1628.8</v>
      </c>
      <c r="E128" s="19">
        <v>1689.5</v>
      </c>
      <c r="F128" s="19">
        <v>1682.7</v>
      </c>
      <c r="G128" s="19">
        <v>1671</v>
      </c>
      <c r="H128" s="19">
        <v>1684.3</v>
      </c>
      <c r="I128" s="19">
        <v>1684.7</v>
      </c>
      <c r="J128" s="20">
        <v>1695.4</v>
      </c>
      <c r="K128" s="11">
        <f t="shared" si="4"/>
        <v>13365.4</v>
      </c>
      <c r="M128" s="21">
        <f t="shared" si="5"/>
        <v>45963</v>
      </c>
      <c r="N128" s="26">
        <v>6.2934185110191168</v>
      </c>
    </row>
    <row r="129" spans="2:14" x14ac:dyDescent="0.3">
      <c r="B129" s="7">
        <v>45964</v>
      </c>
      <c r="C129" s="18">
        <v>856</v>
      </c>
      <c r="D129" s="19">
        <v>856.1</v>
      </c>
      <c r="E129" s="19">
        <v>850.3</v>
      </c>
      <c r="F129" s="19">
        <v>853.3</v>
      </c>
      <c r="G129" s="19">
        <v>849.2</v>
      </c>
      <c r="H129" s="19">
        <v>851.1</v>
      </c>
      <c r="I129" s="19">
        <v>848.6</v>
      </c>
      <c r="J129" s="20">
        <v>844.7</v>
      </c>
      <c r="K129" s="11">
        <f t="shared" si="4"/>
        <v>6809.3</v>
      </c>
      <c r="M129" s="21">
        <f t="shared" si="5"/>
        <v>45964</v>
      </c>
      <c r="N129" s="26">
        <v>2.9860020989489993</v>
      </c>
    </row>
    <row r="130" spans="2:14" x14ac:dyDescent="0.3">
      <c r="B130" s="7">
        <v>45965</v>
      </c>
      <c r="C130" s="18">
        <v>1161.8</v>
      </c>
      <c r="D130" s="19">
        <v>1161.4000000000001</v>
      </c>
      <c r="E130" s="19">
        <v>1159.5999999999999</v>
      </c>
      <c r="F130" s="19">
        <v>1165.0999999999999</v>
      </c>
      <c r="G130" s="19">
        <v>1159.5999999999999</v>
      </c>
      <c r="H130" s="19">
        <v>1168.7</v>
      </c>
      <c r="I130" s="19">
        <v>1165.4000000000001</v>
      </c>
      <c r="J130" s="20">
        <v>1167</v>
      </c>
      <c r="K130" s="11">
        <f t="shared" si="4"/>
        <v>9308.6</v>
      </c>
      <c r="M130" s="21">
        <f t="shared" si="5"/>
        <v>45965</v>
      </c>
      <c r="N130" s="26">
        <v>3.6970945170376561</v>
      </c>
    </row>
    <row r="131" spans="2:14" x14ac:dyDescent="0.3">
      <c r="B131" s="7">
        <v>45966</v>
      </c>
      <c r="C131" s="18">
        <v>2220.6999999999998</v>
      </c>
      <c r="D131" s="19">
        <v>2216.1999999999998</v>
      </c>
      <c r="E131" s="19">
        <v>2208</v>
      </c>
      <c r="F131" s="19">
        <v>2198.1999999999998</v>
      </c>
      <c r="G131" s="19">
        <v>2191.6</v>
      </c>
      <c r="H131" s="19">
        <v>2204.4</v>
      </c>
      <c r="I131" s="19">
        <v>2204.1999999999998</v>
      </c>
      <c r="J131" s="20">
        <v>2206.5</v>
      </c>
      <c r="K131" s="11">
        <f t="shared" si="4"/>
        <v>17649.8</v>
      </c>
      <c r="M131" s="21">
        <f t="shared" si="5"/>
        <v>45966</v>
      </c>
      <c r="N131" s="26">
        <v>8.4338047949007233</v>
      </c>
    </row>
    <row r="132" spans="2:14" x14ac:dyDescent="0.3">
      <c r="B132" s="7">
        <v>45967</v>
      </c>
      <c r="C132" s="18">
        <v>2092</v>
      </c>
      <c r="D132" s="19">
        <v>2087.1</v>
      </c>
      <c r="E132" s="19">
        <v>2082.6</v>
      </c>
      <c r="F132" s="19">
        <v>2087.3000000000002</v>
      </c>
      <c r="G132" s="19">
        <v>2092.1999999999998</v>
      </c>
      <c r="H132" s="19">
        <v>2100.5</v>
      </c>
      <c r="I132" s="19">
        <v>2083.3000000000002</v>
      </c>
      <c r="J132" s="20">
        <v>2082.6</v>
      </c>
      <c r="K132" s="11">
        <f t="shared" ref="K132:K195" si="6">SUM(C132:J132)</f>
        <v>16707.599999999999</v>
      </c>
      <c r="M132" s="21">
        <f t="shared" si="5"/>
        <v>45967</v>
      </c>
      <c r="N132" s="26">
        <v>8.4064123281584795</v>
      </c>
    </row>
    <row r="133" spans="2:14" x14ac:dyDescent="0.3">
      <c r="B133" s="7">
        <v>45968</v>
      </c>
      <c r="C133" s="18">
        <v>1773.5</v>
      </c>
      <c r="D133" s="19">
        <v>1768.3</v>
      </c>
      <c r="E133" s="19">
        <v>1756.5</v>
      </c>
      <c r="F133" s="19">
        <v>1745.9</v>
      </c>
      <c r="G133" s="19">
        <v>1739.9</v>
      </c>
      <c r="H133" s="19">
        <v>1751.3</v>
      </c>
      <c r="I133" s="19">
        <v>1749.2</v>
      </c>
      <c r="J133" s="20">
        <v>1752.2</v>
      </c>
      <c r="K133" s="11">
        <f t="shared" si="6"/>
        <v>14036.800000000001</v>
      </c>
      <c r="M133" s="21">
        <f t="shared" ref="M133:M196" si="7">B133</f>
        <v>45968</v>
      </c>
      <c r="N133" s="26">
        <v>6.9242776917187978</v>
      </c>
    </row>
    <row r="134" spans="2:14" x14ac:dyDescent="0.3">
      <c r="B134" s="7">
        <v>45969</v>
      </c>
      <c r="C134" s="18">
        <v>924.2</v>
      </c>
      <c r="D134" s="19">
        <v>922.4</v>
      </c>
      <c r="E134" s="19">
        <v>923.3</v>
      </c>
      <c r="F134" s="19">
        <v>921.5</v>
      </c>
      <c r="G134" s="19">
        <v>915</v>
      </c>
      <c r="H134" s="19">
        <v>920.6</v>
      </c>
      <c r="I134" s="19">
        <v>918.2</v>
      </c>
      <c r="J134" s="20">
        <v>916.4</v>
      </c>
      <c r="K134" s="11">
        <f t="shared" si="6"/>
        <v>7361.5999999999995</v>
      </c>
      <c r="M134" s="21">
        <f t="shared" si="7"/>
        <v>45969</v>
      </c>
      <c r="N134" s="26">
        <v>3.4227109595787431</v>
      </c>
    </row>
    <row r="135" spans="2:14" x14ac:dyDescent="0.3">
      <c r="B135" s="7">
        <v>45970</v>
      </c>
      <c r="C135" s="18">
        <v>1185.2</v>
      </c>
      <c r="D135" s="19">
        <v>1186.9000000000001</v>
      </c>
      <c r="E135" s="19">
        <v>1184.8</v>
      </c>
      <c r="F135" s="19">
        <v>1186.5999999999999</v>
      </c>
      <c r="G135" s="19">
        <v>1186.2</v>
      </c>
      <c r="H135" s="19">
        <v>1194.0999999999999</v>
      </c>
      <c r="I135" s="19">
        <v>1197.2</v>
      </c>
      <c r="J135" s="20">
        <v>1193.0999999999999</v>
      </c>
      <c r="K135" s="11">
        <f t="shared" si="6"/>
        <v>9514.1</v>
      </c>
      <c r="M135" s="21">
        <f t="shared" si="7"/>
        <v>45970</v>
      </c>
      <c r="N135" s="26">
        <v>4.8013288065658335</v>
      </c>
    </row>
    <row r="136" spans="2:14" x14ac:dyDescent="0.3">
      <c r="B136" s="7">
        <v>45971</v>
      </c>
      <c r="C136" s="18">
        <v>1805.4</v>
      </c>
      <c r="D136" s="19">
        <v>1805.7</v>
      </c>
      <c r="E136" s="19">
        <v>1810.5</v>
      </c>
      <c r="F136" s="19">
        <v>1807.8</v>
      </c>
      <c r="G136" s="19">
        <v>1800.2</v>
      </c>
      <c r="H136" s="19">
        <v>1813.4</v>
      </c>
      <c r="I136" s="19">
        <v>1812.7</v>
      </c>
      <c r="J136" s="20">
        <v>1814.2</v>
      </c>
      <c r="K136" s="11">
        <f t="shared" si="6"/>
        <v>14469.900000000001</v>
      </c>
      <c r="M136" s="21">
        <f t="shared" si="7"/>
        <v>45971</v>
      </c>
      <c r="N136" s="26">
        <v>7.7383781287364171</v>
      </c>
    </row>
    <row r="137" spans="2:14" x14ac:dyDescent="0.3">
      <c r="B137" s="7">
        <v>45972</v>
      </c>
      <c r="C137" s="18">
        <v>1432.6</v>
      </c>
      <c r="D137" s="19">
        <v>1426.2</v>
      </c>
      <c r="E137" s="19">
        <v>1421.1</v>
      </c>
      <c r="F137" s="19">
        <v>1418.6</v>
      </c>
      <c r="G137" s="19">
        <v>1354.8</v>
      </c>
      <c r="H137" s="19">
        <v>1416.7</v>
      </c>
      <c r="I137" s="19">
        <v>1414.6</v>
      </c>
      <c r="J137" s="20">
        <v>1409.6</v>
      </c>
      <c r="K137" s="11">
        <f t="shared" si="6"/>
        <v>11294.2</v>
      </c>
      <c r="M137" s="21">
        <f t="shared" si="7"/>
        <v>45972</v>
      </c>
      <c r="N137" s="26">
        <v>5.176713549087129</v>
      </c>
    </row>
    <row r="138" spans="2:14" x14ac:dyDescent="0.3">
      <c r="B138" s="7">
        <v>45973</v>
      </c>
      <c r="C138" s="18">
        <v>2121.6999999999998</v>
      </c>
      <c r="D138" s="19">
        <v>2113</v>
      </c>
      <c r="E138" s="19">
        <v>2105.5</v>
      </c>
      <c r="F138" s="19">
        <v>2101.6999999999998</v>
      </c>
      <c r="G138" s="19">
        <v>2098.1999999999998</v>
      </c>
      <c r="H138" s="19">
        <v>2110.5</v>
      </c>
      <c r="I138" s="19">
        <v>2111.6999999999998</v>
      </c>
      <c r="J138" s="20">
        <v>2106.9</v>
      </c>
      <c r="K138" s="11">
        <f t="shared" si="6"/>
        <v>16869.2</v>
      </c>
      <c r="M138" s="21">
        <f t="shared" si="7"/>
        <v>45973</v>
      </c>
      <c r="N138" s="26">
        <v>8.7132411747689478</v>
      </c>
    </row>
    <row r="139" spans="2:14" x14ac:dyDescent="0.3">
      <c r="B139" s="7">
        <v>45974</v>
      </c>
      <c r="C139" s="18">
        <v>2361.9</v>
      </c>
      <c r="D139" s="19">
        <v>2363.1</v>
      </c>
      <c r="E139" s="19">
        <v>2360.6</v>
      </c>
      <c r="F139" s="19">
        <v>2359.6999999999998</v>
      </c>
      <c r="G139" s="19">
        <v>2357.9</v>
      </c>
      <c r="H139" s="19">
        <v>2369</v>
      </c>
      <c r="I139" s="19">
        <v>2369.8000000000002</v>
      </c>
      <c r="J139" s="20">
        <v>2359.8000000000002</v>
      </c>
      <c r="K139" s="11">
        <f t="shared" si="6"/>
        <v>18901.8</v>
      </c>
      <c r="M139" s="21">
        <f t="shared" si="7"/>
        <v>45974</v>
      </c>
      <c r="N139" s="26">
        <v>9.9675549692834124</v>
      </c>
    </row>
    <row r="140" spans="2:14" x14ac:dyDescent="0.3">
      <c r="B140" s="7">
        <v>45975</v>
      </c>
      <c r="C140" s="18">
        <v>2016.8</v>
      </c>
      <c r="D140" s="19">
        <v>2031</v>
      </c>
      <c r="E140" s="19">
        <v>2030</v>
      </c>
      <c r="F140" s="19">
        <v>2031.2</v>
      </c>
      <c r="G140" s="19">
        <v>2043.8</v>
      </c>
      <c r="H140" s="19">
        <v>2069.6999999999998</v>
      </c>
      <c r="I140" s="19">
        <v>2065.3000000000002</v>
      </c>
      <c r="J140" s="20">
        <v>2065.8000000000002</v>
      </c>
      <c r="K140" s="11">
        <f t="shared" si="6"/>
        <v>16353.599999999999</v>
      </c>
      <c r="M140" s="21">
        <f t="shared" si="7"/>
        <v>45975</v>
      </c>
      <c r="N140" s="26">
        <v>8.5255362399800756</v>
      </c>
    </row>
    <row r="141" spans="2:14" x14ac:dyDescent="0.3">
      <c r="B141" s="7">
        <v>45976</v>
      </c>
      <c r="C141" s="18">
        <v>2169.6</v>
      </c>
      <c r="D141" s="19">
        <v>1477.7</v>
      </c>
      <c r="E141" s="19">
        <v>2217.1999999999998</v>
      </c>
      <c r="F141" s="19">
        <v>2227.6999999999998</v>
      </c>
      <c r="G141" s="19">
        <v>2216.8000000000002</v>
      </c>
      <c r="H141" s="19">
        <v>2217.1</v>
      </c>
      <c r="I141" s="19">
        <v>2203.8000000000002</v>
      </c>
      <c r="J141" s="20">
        <v>2187.1</v>
      </c>
      <c r="K141" s="11">
        <f t="shared" si="6"/>
        <v>16917</v>
      </c>
      <c r="M141" s="21">
        <f t="shared" si="7"/>
        <v>45976</v>
      </c>
      <c r="N141" s="26">
        <v>9.0895297620041653</v>
      </c>
    </row>
    <row r="142" spans="2:14" x14ac:dyDescent="0.3">
      <c r="B142" s="7">
        <v>45977</v>
      </c>
      <c r="C142" s="18">
        <v>1483</v>
      </c>
      <c r="D142" s="19">
        <v>0</v>
      </c>
      <c r="E142" s="19">
        <v>1473</v>
      </c>
      <c r="F142" s="19">
        <v>1471.1</v>
      </c>
      <c r="G142" s="19">
        <v>1464.2</v>
      </c>
      <c r="H142" s="19">
        <v>1471.8</v>
      </c>
      <c r="I142" s="19">
        <v>1469.7</v>
      </c>
      <c r="J142" s="20">
        <v>1457</v>
      </c>
      <c r="K142" s="11">
        <f t="shared" si="6"/>
        <v>10289.800000000001</v>
      </c>
      <c r="M142" s="21">
        <f t="shared" si="7"/>
        <v>45977</v>
      </c>
      <c r="N142" s="26">
        <v>5.9362016766310255</v>
      </c>
    </row>
    <row r="143" spans="2:14" x14ac:dyDescent="0.3">
      <c r="B143" s="7">
        <v>45978</v>
      </c>
      <c r="C143" s="18">
        <v>1302.3</v>
      </c>
      <c r="D143" s="19">
        <v>0</v>
      </c>
      <c r="E143" s="19">
        <v>1326.1</v>
      </c>
      <c r="F143" s="19">
        <v>1326</v>
      </c>
      <c r="G143" s="19">
        <v>1317.5</v>
      </c>
      <c r="H143" s="19">
        <v>1336</v>
      </c>
      <c r="I143" s="19">
        <v>1335.3</v>
      </c>
      <c r="J143" s="20">
        <v>1337.2</v>
      </c>
      <c r="K143" s="11">
        <f t="shared" si="6"/>
        <v>9280.4</v>
      </c>
      <c r="M143" s="21">
        <f t="shared" si="7"/>
        <v>45978</v>
      </c>
      <c r="N143" s="26">
        <v>5.3175726358352584</v>
      </c>
    </row>
    <row r="144" spans="2:14" x14ac:dyDescent="0.3">
      <c r="B144" s="7">
        <v>45979</v>
      </c>
      <c r="C144" s="18">
        <v>2182.1</v>
      </c>
      <c r="D144" s="19">
        <v>0</v>
      </c>
      <c r="E144" s="19">
        <v>2178.5</v>
      </c>
      <c r="F144" s="19">
        <v>2177.1</v>
      </c>
      <c r="G144" s="19">
        <v>2174.3000000000002</v>
      </c>
      <c r="H144" s="19">
        <v>2182</v>
      </c>
      <c r="I144" s="19">
        <v>2182</v>
      </c>
      <c r="J144" s="20">
        <v>2184.8000000000002</v>
      </c>
      <c r="K144" s="11">
        <f t="shared" si="6"/>
        <v>15260.8</v>
      </c>
      <c r="M144" s="21">
        <f t="shared" si="7"/>
        <v>45979</v>
      </c>
      <c r="N144" s="26">
        <v>8.7276580995718387</v>
      </c>
    </row>
    <row r="145" spans="2:14" x14ac:dyDescent="0.3">
      <c r="B145" s="7">
        <v>45980</v>
      </c>
      <c r="C145" s="18">
        <v>1826</v>
      </c>
      <c r="D145" s="19">
        <v>0</v>
      </c>
      <c r="E145" s="19">
        <v>1811.5</v>
      </c>
      <c r="F145" s="19">
        <v>1817.9</v>
      </c>
      <c r="G145" s="19">
        <v>1807.1</v>
      </c>
      <c r="H145" s="19">
        <v>1811.1</v>
      </c>
      <c r="I145" s="19">
        <v>1820.3</v>
      </c>
      <c r="J145" s="20">
        <v>1808.1</v>
      </c>
      <c r="K145" s="11">
        <f t="shared" si="6"/>
        <v>12702</v>
      </c>
      <c r="M145" s="21">
        <f t="shared" si="7"/>
        <v>45980</v>
      </c>
      <c r="N145" s="26">
        <v>7.0735386158550639</v>
      </c>
    </row>
    <row r="146" spans="2:14" x14ac:dyDescent="0.3">
      <c r="B146" s="7">
        <v>45981</v>
      </c>
      <c r="C146" s="18">
        <v>1877.5</v>
      </c>
      <c r="D146" s="19">
        <v>0</v>
      </c>
      <c r="E146" s="19">
        <v>1892.3</v>
      </c>
      <c r="F146" s="19">
        <v>1911.7</v>
      </c>
      <c r="G146" s="19">
        <v>1855.4</v>
      </c>
      <c r="H146" s="19">
        <v>1870.7</v>
      </c>
      <c r="I146" s="19">
        <v>1663.3</v>
      </c>
      <c r="J146" s="20">
        <v>1864</v>
      </c>
      <c r="K146" s="11">
        <f t="shared" si="6"/>
        <v>12934.9</v>
      </c>
      <c r="M146" s="21">
        <f t="shared" si="7"/>
        <v>45981</v>
      </c>
      <c r="N146" s="26">
        <v>8.9852552601655074</v>
      </c>
    </row>
    <row r="147" spans="2:14" x14ac:dyDescent="0.3">
      <c r="B147" s="7">
        <v>45982</v>
      </c>
      <c r="C147" s="18">
        <v>1688.5</v>
      </c>
      <c r="D147" s="19">
        <v>0</v>
      </c>
      <c r="E147" s="19">
        <v>1669</v>
      </c>
      <c r="F147" s="19">
        <v>1657.2</v>
      </c>
      <c r="G147" s="19">
        <v>1640.5</v>
      </c>
      <c r="H147" s="19">
        <v>1646.4</v>
      </c>
      <c r="I147" s="19">
        <v>1649.8</v>
      </c>
      <c r="J147" s="20">
        <v>1651</v>
      </c>
      <c r="K147" s="11">
        <f t="shared" si="6"/>
        <v>11602.4</v>
      </c>
      <c r="M147" s="21">
        <f t="shared" si="7"/>
        <v>45982</v>
      </c>
      <c r="N147" s="26">
        <v>6.2943067597386602</v>
      </c>
    </row>
    <row r="148" spans="2:14" x14ac:dyDescent="0.3">
      <c r="B148" s="7">
        <v>45983</v>
      </c>
      <c r="C148" s="18">
        <v>1663.5</v>
      </c>
      <c r="D148" s="19">
        <v>0</v>
      </c>
      <c r="E148" s="19">
        <v>1674.7</v>
      </c>
      <c r="F148" s="19">
        <v>1665</v>
      </c>
      <c r="G148" s="19">
        <v>1642.5</v>
      </c>
      <c r="H148" s="19">
        <v>1645.6</v>
      </c>
      <c r="I148" s="19">
        <v>1636.6</v>
      </c>
      <c r="J148" s="20">
        <v>1630.8</v>
      </c>
      <c r="K148" s="11">
        <f t="shared" si="6"/>
        <v>11558.699999999999</v>
      </c>
      <c r="M148" s="21">
        <f t="shared" si="7"/>
        <v>45983</v>
      </c>
      <c r="N148" s="26">
        <v>6.4274303518327116</v>
      </c>
    </row>
    <row r="149" spans="2:14" x14ac:dyDescent="0.3">
      <c r="B149" s="7">
        <v>45984</v>
      </c>
      <c r="C149" s="18">
        <v>938.7</v>
      </c>
      <c r="D149" s="19">
        <v>0</v>
      </c>
      <c r="E149" s="19">
        <v>930.5</v>
      </c>
      <c r="F149" s="19">
        <v>929.7</v>
      </c>
      <c r="G149" s="19">
        <v>925.7</v>
      </c>
      <c r="H149" s="19">
        <v>929.5</v>
      </c>
      <c r="I149" s="19">
        <v>925.4</v>
      </c>
      <c r="J149" s="20">
        <v>913.5</v>
      </c>
      <c r="K149" s="11">
        <f t="shared" si="6"/>
        <v>6493</v>
      </c>
      <c r="M149" s="21">
        <f t="shared" si="7"/>
        <v>45984</v>
      </c>
      <c r="N149" s="26">
        <v>3.2463596780799122</v>
      </c>
    </row>
    <row r="150" spans="2:14" x14ac:dyDescent="0.3">
      <c r="B150" s="7">
        <v>45985</v>
      </c>
      <c r="C150" s="18">
        <v>0</v>
      </c>
      <c r="D150" s="19">
        <v>0</v>
      </c>
      <c r="E150" s="19">
        <v>2025.1</v>
      </c>
      <c r="F150" s="19">
        <v>0</v>
      </c>
      <c r="G150" s="19">
        <v>2041.8</v>
      </c>
      <c r="H150" s="19">
        <v>2075.3000000000002</v>
      </c>
      <c r="I150" s="19">
        <v>1915.3</v>
      </c>
      <c r="J150" s="20">
        <v>2082.6999999999998</v>
      </c>
      <c r="K150" s="11">
        <f t="shared" si="6"/>
        <v>10140.200000000001</v>
      </c>
      <c r="M150" s="21">
        <f t="shared" si="7"/>
        <v>45985</v>
      </c>
      <c r="N150" s="26">
        <v>8.0539787777539473</v>
      </c>
    </row>
    <row r="151" spans="2:14" x14ac:dyDescent="0.3">
      <c r="B151" s="7">
        <v>45986</v>
      </c>
      <c r="C151" s="18">
        <v>0</v>
      </c>
      <c r="D151" s="19">
        <v>0</v>
      </c>
      <c r="E151" s="19">
        <v>1076.7</v>
      </c>
      <c r="F151" s="19">
        <v>0</v>
      </c>
      <c r="G151" s="19">
        <v>1058</v>
      </c>
      <c r="H151" s="19">
        <v>1028.2</v>
      </c>
      <c r="I151" s="19">
        <v>1038.8</v>
      </c>
      <c r="J151" s="20">
        <v>1075.3</v>
      </c>
      <c r="K151" s="11">
        <f t="shared" si="6"/>
        <v>5277</v>
      </c>
      <c r="M151" s="21">
        <f t="shared" si="7"/>
        <v>45986</v>
      </c>
      <c r="N151" s="26">
        <v>3.5915894610180166</v>
      </c>
    </row>
    <row r="152" spans="2:14" x14ac:dyDescent="0.3">
      <c r="B152" s="7">
        <v>45987</v>
      </c>
      <c r="C152" s="18">
        <v>0</v>
      </c>
      <c r="D152" s="19">
        <v>0</v>
      </c>
      <c r="E152" s="19">
        <v>899.6</v>
      </c>
      <c r="F152" s="19">
        <v>0</v>
      </c>
      <c r="G152" s="19">
        <v>897.4</v>
      </c>
      <c r="H152" s="19">
        <v>901.4</v>
      </c>
      <c r="I152" s="19">
        <v>897.8</v>
      </c>
      <c r="J152" s="20">
        <v>895.7</v>
      </c>
      <c r="K152" s="11">
        <f t="shared" si="6"/>
        <v>4491.8999999999996</v>
      </c>
      <c r="M152" s="21">
        <f t="shared" si="7"/>
        <v>45987</v>
      </c>
      <c r="N152" s="26">
        <v>2.8800645463211265</v>
      </c>
    </row>
    <row r="153" spans="2:14" x14ac:dyDescent="0.3">
      <c r="B153" s="7">
        <v>45988</v>
      </c>
      <c r="C153" s="18">
        <v>0</v>
      </c>
      <c r="D153" s="19">
        <v>0</v>
      </c>
      <c r="E153" s="19">
        <v>1523.4</v>
      </c>
      <c r="F153" s="19">
        <v>0</v>
      </c>
      <c r="G153" s="19">
        <v>1517.2</v>
      </c>
      <c r="H153" s="19">
        <v>1533.9</v>
      </c>
      <c r="I153" s="19">
        <v>1529.3</v>
      </c>
      <c r="J153" s="20">
        <v>1531.2</v>
      </c>
      <c r="K153" s="11">
        <f t="shared" si="6"/>
        <v>7635</v>
      </c>
      <c r="M153" s="21">
        <f t="shared" si="7"/>
        <v>45988</v>
      </c>
      <c r="N153" s="26">
        <v>5.70908665739542</v>
      </c>
    </row>
    <row r="154" spans="2:14" x14ac:dyDescent="0.3">
      <c r="B154" s="7">
        <v>45989</v>
      </c>
      <c r="C154" s="18">
        <v>0</v>
      </c>
      <c r="D154" s="19">
        <v>0</v>
      </c>
      <c r="E154" s="19">
        <v>1693.5</v>
      </c>
      <c r="F154" s="19">
        <v>0</v>
      </c>
      <c r="G154" s="19">
        <v>1690.3</v>
      </c>
      <c r="H154" s="19">
        <v>1689.1</v>
      </c>
      <c r="I154" s="19">
        <v>1685.9</v>
      </c>
      <c r="J154" s="20">
        <v>1677.2</v>
      </c>
      <c r="K154" s="11">
        <f t="shared" si="6"/>
        <v>8436</v>
      </c>
      <c r="M154" s="21">
        <f t="shared" si="7"/>
        <v>45989</v>
      </c>
      <c r="N154" s="26">
        <v>7.2689598219192773</v>
      </c>
    </row>
    <row r="155" spans="2:14" x14ac:dyDescent="0.3">
      <c r="B155" s="7">
        <v>45990</v>
      </c>
      <c r="C155" s="18">
        <v>0</v>
      </c>
      <c r="D155" s="19">
        <v>0</v>
      </c>
      <c r="E155" s="19">
        <v>2172.4</v>
      </c>
      <c r="F155" s="19">
        <v>2180.4</v>
      </c>
      <c r="G155" s="19">
        <v>2168.6</v>
      </c>
      <c r="H155" s="19">
        <v>2188.1</v>
      </c>
      <c r="I155" s="19">
        <v>2187.9</v>
      </c>
      <c r="J155" s="20">
        <v>2188.1</v>
      </c>
      <c r="K155" s="11">
        <f t="shared" si="6"/>
        <v>13085.5</v>
      </c>
      <c r="M155" s="21">
        <f t="shared" si="7"/>
        <v>45990</v>
      </c>
      <c r="N155" s="26">
        <v>8.1758082641959025</v>
      </c>
    </row>
    <row r="156" spans="2:14" x14ac:dyDescent="0.3">
      <c r="B156" s="7">
        <v>45991</v>
      </c>
      <c r="C156" s="18">
        <v>0</v>
      </c>
      <c r="D156" s="19">
        <v>0</v>
      </c>
      <c r="E156" s="19">
        <v>1760.4</v>
      </c>
      <c r="F156" s="19">
        <v>1764.9</v>
      </c>
      <c r="G156" s="19">
        <v>1754.6</v>
      </c>
      <c r="H156" s="19">
        <v>1760.9</v>
      </c>
      <c r="I156" s="19">
        <v>1746.7</v>
      </c>
      <c r="J156" s="20">
        <v>1741.9</v>
      </c>
      <c r="K156" s="11">
        <f t="shared" si="6"/>
        <v>10529.4</v>
      </c>
      <c r="M156" s="21">
        <f t="shared" si="7"/>
        <v>45991</v>
      </c>
      <c r="N156" s="26">
        <v>6.4144640678763256</v>
      </c>
    </row>
    <row r="157" spans="2:14" x14ac:dyDescent="0.3">
      <c r="B157" s="7">
        <v>45992</v>
      </c>
      <c r="C157" s="18">
        <v>0</v>
      </c>
      <c r="D157" s="19">
        <v>0</v>
      </c>
      <c r="E157" s="19">
        <v>1450.6</v>
      </c>
      <c r="F157" s="19">
        <v>1451.6</v>
      </c>
      <c r="G157" s="19">
        <v>1443.8</v>
      </c>
      <c r="H157" s="19">
        <v>1463.2</v>
      </c>
      <c r="I157" s="19">
        <v>1462.3</v>
      </c>
      <c r="J157" s="20">
        <v>1462.5</v>
      </c>
      <c r="K157" s="11">
        <f t="shared" si="6"/>
        <v>8734</v>
      </c>
      <c r="M157" s="21">
        <f t="shared" si="7"/>
        <v>45992</v>
      </c>
      <c r="N157" s="26">
        <v>5.3958436110590773</v>
      </c>
    </row>
    <row r="158" spans="2:14" x14ac:dyDescent="0.3">
      <c r="B158" s="7">
        <f>B157+1</f>
        <v>45993</v>
      </c>
      <c r="C158" s="18">
        <v>0</v>
      </c>
      <c r="D158" s="19">
        <v>0</v>
      </c>
      <c r="E158" s="19">
        <v>1079.5999999999999</v>
      </c>
      <c r="F158" s="19">
        <v>1092.5</v>
      </c>
      <c r="G158" s="19">
        <v>1082.2</v>
      </c>
      <c r="H158" s="19">
        <v>1094.5999999999999</v>
      </c>
      <c r="I158" s="19">
        <v>1032.8</v>
      </c>
      <c r="J158" s="20">
        <v>1076.4000000000001</v>
      </c>
      <c r="K158" s="11">
        <f t="shared" si="6"/>
        <v>6458.1</v>
      </c>
      <c r="M158" s="21">
        <f t="shared" si="7"/>
        <v>45993</v>
      </c>
      <c r="N158" s="26">
        <v>3.5641574228728765</v>
      </c>
    </row>
    <row r="159" spans="2:14" x14ac:dyDescent="0.3">
      <c r="B159" s="7">
        <f t="shared" ref="B159:B187" si="8">B158+1</f>
        <v>45994</v>
      </c>
      <c r="C159" s="18">
        <v>18.5</v>
      </c>
      <c r="D159" s="19">
        <v>0</v>
      </c>
      <c r="E159" s="19">
        <v>1565.8</v>
      </c>
      <c r="F159" s="19">
        <v>1570.3</v>
      </c>
      <c r="G159" s="19">
        <v>1562.2</v>
      </c>
      <c r="H159" s="19">
        <v>1578.2</v>
      </c>
      <c r="I159" s="19">
        <v>1578.1</v>
      </c>
      <c r="J159" s="20">
        <v>1573.9</v>
      </c>
      <c r="K159" s="11">
        <f t="shared" si="6"/>
        <v>9447</v>
      </c>
      <c r="M159" s="21">
        <f t="shared" si="7"/>
        <v>45994</v>
      </c>
      <c r="N159" s="26">
        <v>5.7021395056615498</v>
      </c>
    </row>
    <row r="160" spans="2:14" x14ac:dyDescent="0.3">
      <c r="B160" s="7">
        <f t="shared" si="8"/>
        <v>45995</v>
      </c>
      <c r="C160" s="18">
        <v>677.1</v>
      </c>
      <c r="D160" s="19">
        <v>0</v>
      </c>
      <c r="E160" s="19">
        <v>674.3</v>
      </c>
      <c r="F160" s="19">
        <v>676.3</v>
      </c>
      <c r="G160" s="19">
        <v>673.5</v>
      </c>
      <c r="H160" s="19">
        <v>680.4</v>
      </c>
      <c r="I160" s="19">
        <v>680.4</v>
      </c>
      <c r="J160" s="20">
        <v>677.8</v>
      </c>
      <c r="K160" s="11">
        <f t="shared" si="6"/>
        <v>4739.8</v>
      </c>
      <c r="M160" s="21">
        <f t="shared" si="7"/>
        <v>45995</v>
      </c>
      <c r="N160" s="26">
        <v>2.350251670043602</v>
      </c>
    </row>
    <row r="161" spans="2:14" x14ac:dyDescent="0.3">
      <c r="B161" s="7">
        <f t="shared" si="8"/>
        <v>45996</v>
      </c>
      <c r="C161" s="18">
        <v>1431.2</v>
      </c>
      <c r="D161" s="19">
        <v>0</v>
      </c>
      <c r="E161" s="19">
        <v>1435.8</v>
      </c>
      <c r="F161" s="19">
        <v>1443.3</v>
      </c>
      <c r="G161" s="19">
        <v>1443.1</v>
      </c>
      <c r="H161" s="19">
        <v>1455.7</v>
      </c>
      <c r="I161" s="19">
        <v>1455.9</v>
      </c>
      <c r="J161" s="20">
        <v>1447.4</v>
      </c>
      <c r="K161" s="11">
        <f t="shared" si="6"/>
        <v>10112.4</v>
      </c>
      <c r="M161" s="21">
        <f t="shared" si="7"/>
        <v>45996</v>
      </c>
      <c r="N161" s="26">
        <v>4.9413470860709525</v>
      </c>
    </row>
    <row r="162" spans="2:14" x14ac:dyDescent="0.3">
      <c r="B162" s="7">
        <f t="shared" si="8"/>
        <v>45997</v>
      </c>
      <c r="C162" s="18">
        <v>754.7</v>
      </c>
      <c r="D162" s="19">
        <v>0</v>
      </c>
      <c r="E162" s="19">
        <v>759.6</v>
      </c>
      <c r="F162" s="19">
        <v>764.1</v>
      </c>
      <c r="G162" s="19">
        <v>763.9</v>
      </c>
      <c r="H162" s="19">
        <v>771.3</v>
      </c>
      <c r="I162" s="19">
        <v>772.2</v>
      </c>
      <c r="J162" s="20">
        <v>768.4</v>
      </c>
      <c r="K162" s="11">
        <f t="shared" si="6"/>
        <v>5354.2</v>
      </c>
      <c r="M162" s="21">
        <f t="shared" si="7"/>
        <v>45997</v>
      </c>
      <c r="N162" s="26">
        <v>2.3159922496126932</v>
      </c>
    </row>
    <row r="163" spans="2:14" x14ac:dyDescent="0.3">
      <c r="B163" s="7">
        <f t="shared" si="8"/>
        <v>45998</v>
      </c>
      <c r="C163" s="18">
        <v>1495.7</v>
      </c>
      <c r="D163" s="19">
        <v>0</v>
      </c>
      <c r="E163" s="19">
        <v>1504</v>
      </c>
      <c r="F163" s="19">
        <v>1511.6</v>
      </c>
      <c r="G163" s="19">
        <v>1501.2</v>
      </c>
      <c r="H163" s="19">
        <v>1523.2</v>
      </c>
      <c r="I163" s="19">
        <v>1521.5</v>
      </c>
      <c r="J163" s="20">
        <v>1515.3</v>
      </c>
      <c r="K163" s="11">
        <f t="shared" si="6"/>
        <v>10572.499999999998</v>
      </c>
      <c r="M163" s="21">
        <f t="shared" si="7"/>
        <v>45998</v>
      </c>
      <c r="N163" s="26">
        <v>4.9819911723489145</v>
      </c>
    </row>
    <row r="164" spans="2:14" x14ac:dyDescent="0.3">
      <c r="B164" s="7">
        <f t="shared" si="8"/>
        <v>45999</v>
      </c>
      <c r="C164" s="18">
        <v>843.8</v>
      </c>
      <c r="D164" s="19">
        <v>0</v>
      </c>
      <c r="E164" s="19">
        <v>851.3</v>
      </c>
      <c r="F164" s="19">
        <v>856.3</v>
      </c>
      <c r="G164" s="19">
        <v>851.6</v>
      </c>
      <c r="H164" s="19">
        <v>858.3</v>
      </c>
      <c r="I164" s="19">
        <v>857.3</v>
      </c>
      <c r="J164" s="20">
        <v>856.7</v>
      </c>
      <c r="K164" s="11">
        <f t="shared" si="6"/>
        <v>5975.2999999999993</v>
      </c>
      <c r="M164" s="21">
        <f t="shared" si="7"/>
        <v>45999</v>
      </c>
      <c r="N164" s="26">
        <v>2.5344954991623094</v>
      </c>
    </row>
    <row r="165" spans="2:14" x14ac:dyDescent="0.3">
      <c r="B165" s="7">
        <f t="shared" si="8"/>
        <v>46000</v>
      </c>
      <c r="C165" s="18">
        <v>848.4</v>
      </c>
      <c r="D165" s="19">
        <v>0</v>
      </c>
      <c r="E165" s="19">
        <v>852.4</v>
      </c>
      <c r="F165" s="19">
        <v>856.1</v>
      </c>
      <c r="G165" s="19">
        <v>854</v>
      </c>
      <c r="H165" s="19">
        <v>861.2</v>
      </c>
      <c r="I165" s="19">
        <v>860.4</v>
      </c>
      <c r="J165" s="20">
        <v>858.3</v>
      </c>
      <c r="K165" s="11">
        <f t="shared" si="6"/>
        <v>5990.8</v>
      </c>
      <c r="M165" s="21">
        <f t="shared" si="7"/>
        <v>46000</v>
      </c>
      <c r="N165" s="26">
        <v>2.6546067332397176</v>
      </c>
    </row>
    <row r="166" spans="2:14" x14ac:dyDescent="0.3">
      <c r="B166" s="7">
        <f t="shared" si="8"/>
        <v>46001</v>
      </c>
      <c r="C166" s="18">
        <v>1517.7</v>
      </c>
      <c r="D166" s="19">
        <v>0</v>
      </c>
      <c r="E166" s="19">
        <v>1515.9</v>
      </c>
      <c r="F166" s="19">
        <v>1523.9</v>
      </c>
      <c r="G166" s="19">
        <v>1519.9</v>
      </c>
      <c r="H166" s="19">
        <v>1528.6</v>
      </c>
      <c r="I166" s="19">
        <v>1523.7</v>
      </c>
      <c r="J166" s="20">
        <v>1513.8</v>
      </c>
      <c r="K166" s="11">
        <f t="shared" si="6"/>
        <v>10643.5</v>
      </c>
      <c r="M166" s="21">
        <f t="shared" si="7"/>
        <v>46001</v>
      </c>
      <c r="N166" s="26">
        <v>5.1186551549639461</v>
      </c>
    </row>
    <row r="167" spans="2:14" x14ac:dyDescent="0.3">
      <c r="B167" s="7">
        <f t="shared" si="8"/>
        <v>46002</v>
      </c>
      <c r="C167" s="18">
        <v>1976.9</v>
      </c>
      <c r="D167" s="19">
        <v>0</v>
      </c>
      <c r="E167" s="19">
        <v>1971.7</v>
      </c>
      <c r="F167" s="19">
        <v>1974.6</v>
      </c>
      <c r="G167" s="19">
        <v>1970.8</v>
      </c>
      <c r="H167" s="19">
        <v>1989.4</v>
      </c>
      <c r="I167" s="19">
        <v>1984.5</v>
      </c>
      <c r="J167" s="20">
        <v>1969.1</v>
      </c>
      <c r="K167" s="11">
        <f t="shared" si="6"/>
        <v>13837.000000000002</v>
      </c>
      <c r="M167" s="21">
        <f t="shared" si="7"/>
        <v>46002</v>
      </c>
      <c r="N167" s="26">
        <v>7.8898642967995105</v>
      </c>
    </row>
    <row r="168" spans="2:14" x14ac:dyDescent="0.3">
      <c r="B168" s="7">
        <f t="shared" si="8"/>
        <v>46003</v>
      </c>
      <c r="C168" s="18">
        <v>1937.2</v>
      </c>
      <c r="D168" s="19">
        <v>0</v>
      </c>
      <c r="E168" s="19">
        <v>1925.7</v>
      </c>
      <c r="F168" s="19">
        <v>1924.7</v>
      </c>
      <c r="G168" s="19">
        <v>1910</v>
      </c>
      <c r="H168" s="19">
        <v>1926.1</v>
      </c>
      <c r="I168" s="19">
        <v>1921.8</v>
      </c>
      <c r="J168" s="20">
        <v>1923.4</v>
      </c>
      <c r="K168" s="11">
        <f t="shared" si="6"/>
        <v>13468.9</v>
      </c>
      <c r="M168" s="21">
        <f t="shared" si="7"/>
        <v>46003</v>
      </c>
      <c r="N168" s="26">
        <v>7.5823825267553158</v>
      </c>
    </row>
    <row r="169" spans="2:14" x14ac:dyDescent="0.3">
      <c r="B169" s="7">
        <f t="shared" si="8"/>
        <v>46004</v>
      </c>
      <c r="C169" s="18">
        <v>1524.4</v>
      </c>
      <c r="D169" s="19">
        <v>0</v>
      </c>
      <c r="E169" s="19">
        <v>1561</v>
      </c>
      <c r="F169" s="19">
        <v>1567.1</v>
      </c>
      <c r="G169" s="19">
        <v>1561.6</v>
      </c>
      <c r="H169" s="19">
        <v>1579.4</v>
      </c>
      <c r="I169" s="19">
        <v>1582.3</v>
      </c>
      <c r="J169" s="20">
        <v>1577.6</v>
      </c>
      <c r="K169" s="11">
        <f t="shared" si="6"/>
        <v>10953.4</v>
      </c>
      <c r="M169" s="21">
        <f t="shared" si="7"/>
        <v>46004</v>
      </c>
      <c r="N169" s="26">
        <v>5.2384724352459058</v>
      </c>
    </row>
    <row r="170" spans="2:14" x14ac:dyDescent="0.3">
      <c r="B170" s="7">
        <f t="shared" si="8"/>
        <v>46005</v>
      </c>
      <c r="C170" s="18">
        <v>1372.2</v>
      </c>
      <c r="D170" s="19">
        <v>0</v>
      </c>
      <c r="E170" s="19">
        <v>1382.7</v>
      </c>
      <c r="F170" s="19">
        <v>1386.3</v>
      </c>
      <c r="G170" s="19">
        <v>1374.8</v>
      </c>
      <c r="H170" s="19">
        <v>1388.5</v>
      </c>
      <c r="I170" s="19">
        <v>1384.8</v>
      </c>
      <c r="J170" s="20">
        <v>1382.9</v>
      </c>
      <c r="K170" s="11">
        <f t="shared" si="6"/>
        <v>9672.1999999999989</v>
      </c>
      <c r="M170" s="21">
        <f t="shared" si="7"/>
        <v>46005</v>
      </c>
      <c r="N170" s="26">
        <v>4.4393004560893692</v>
      </c>
    </row>
    <row r="171" spans="2:14" x14ac:dyDescent="0.3">
      <c r="B171" s="7">
        <f t="shared" si="8"/>
        <v>46006</v>
      </c>
      <c r="C171" s="18">
        <v>1320.5</v>
      </c>
      <c r="D171" s="19">
        <v>0</v>
      </c>
      <c r="E171" s="19">
        <v>1320.6</v>
      </c>
      <c r="F171" s="19">
        <v>1322.4</v>
      </c>
      <c r="G171" s="19">
        <v>1314.4</v>
      </c>
      <c r="H171" s="19">
        <v>1322.6</v>
      </c>
      <c r="I171" s="19">
        <v>1319.2</v>
      </c>
      <c r="J171" s="20">
        <v>1315.2</v>
      </c>
      <c r="K171" s="11">
        <f t="shared" si="6"/>
        <v>9234.9</v>
      </c>
      <c r="M171" s="21">
        <f t="shared" si="7"/>
        <v>46006</v>
      </c>
      <c r="N171" s="26">
        <v>4.4743621839626311</v>
      </c>
    </row>
    <row r="172" spans="2:14" x14ac:dyDescent="0.3">
      <c r="B172" s="7">
        <f t="shared" si="8"/>
        <v>46007</v>
      </c>
      <c r="C172" s="18">
        <v>911.3</v>
      </c>
      <c r="D172" s="19">
        <v>0</v>
      </c>
      <c r="E172" s="19">
        <v>906.8</v>
      </c>
      <c r="F172" s="19">
        <v>909.3</v>
      </c>
      <c r="G172" s="19">
        <v>902.1</v>
      </c>
      <c r="H172" s="19">
        <v>913</v>
      </c>
      <c r="I172" s="19">
        <v>908.7</v>
      </c>
      <c r="J172" s="20">
        <v>901.9</v>
      </c>
      <c r="K172" s="11">
        <f t="shared" si="6"/>
        <v>6353.0999999999995</v>
      </c>
      <c r="M172" s="21">
        <f t="shared" si="7"/>
        <v>46007</v>
      </c>
      <c r="N172" s="26">
        <v>3.0021222001543846</v>
      </c>
    </row>
    <row r="173" spans="2:14" x14ac:dyDescent="0.3">
      <c r="B173" s="7">
        <f t="shared" si="8"/>
        <v>46008</v>
      </c>
      <c r="C173" s="18">
        <v>1696.3</v>
      </c>
      <c r="D173" s="19">
        <v>0</v>
      </c>
      <c r="E173" s="19">
        <v>1711</v>
      </c>
      <c r="F173" s="19">
        <v>1719.7</v>
      </c>
      <c r="G173" s="19">
        <v>1720.1</v>
      </c>
      <c r="H173" s="19">
        <v>1742.7</v>
      </c>
      <c r="I173" s="19">
        <v>1749</v>
      </c>
      <c r="J173" s="20">
        <v>1752.5</v>
      </c>
      <c r="K173" s="11">
        <f t="shared" si="6"/>
        <v>12091.300000000001</v>
      </c>
      <c r="M173" s="21">
        <f t="shared" si="7"/>
        <v>46008</v>
      </c>
      <c r="N173" s="26">
        <v>5.8367234991586994</v>
      </c>
    </row>
    <row r="174" spans="2:14" x14ac:dyDescent="0.3">
      <c r="B174" s="7">
        <f t="shared" si="8"/>
        <v>46009</v>
      </c>
      <c r="C174" s="18">
        <v>843.6</v>
      </c>
      <c r="D174" s="19">
        <v>0</v>
      </c>
      <c r="E174" s="19">
        <v>842.3</v>
      </c>
      <c r="F174" s="19">
        <v>844.5</v>
      </c>
      <c r="G174" s="19">
        <v>841.7</v>
      </c>
      <c r="H174" s="19">
        <v>848.8</v>
      </c>
      <c r="I174" s="19">
        <v>845.4</v>
      </c>
      <c r="J174" s="20">
        <v>839.9</v>
      </c>
      <c r="K174" s="11">
        <f t="shared" si="6"/>
        <v>5906.2</v>
      </c>
      <c r="M174" s="21">
        <f t="shared" si="7"/>
        <v>46009</v>
      </c>
      <c r="N174" s="26">
        <v>2.513363067126984</v>
      </c>
    </row>
    <row r="175" spans="2:14" x14ac:dyDescent="0.3">
      <c r="B175" s="7">
        <f t="shared" si="8"/>
        <v>46010</v>
      </c>
      <c r="C175" s="18">
        <v>1105.4000000000001</v>
      </c>
      <c r="D175" s="19">
        <v>0</v>
      </c>
      <c r="E175" s="19">
        <v>1107.5999999999999</v>
      </c>
      <c r="F175" s="19">
        <v>1111</v>
      </c>
      <c r="G175" s="19">
        <v>1102</v>
      </c>
      <c r="H175" s="19">
        <v>1116.8</v>
      </c>
      <c r="I175" s="19">
        <v>1111.9000000000001</v>
      </c>
      <c r="J175" s="20">
        <v>1107.4000000000001</v>
      </c>
      <c r="K175" s="11">
        <f t="shared" si="6"/>
        <v>7762.1</v>
      </c>
      <c r="M175" s="21">
        <f t="shared" si="7"/>
        <v>46010</v>
      </c>
      <c r="N175" s="26">
        <v>3.631593816022459</v>
      </c>
    </row>
    <row r="176" spans="2:14" x14ac:dyDescent="0.3">
      <c r="B176" s="7">
        <f t="shared" si="8"/>
        <v>46011</v>
      </c>
      <c r="C176" s="18">
        <v>1099.7</v>
      </c>
      <c r="D176" s="19">
        <v>0</v>
      </c>
      <c r="E176" s="19">
        <v>1114.4000000000001</v>
      </c>
      <c r="F176" s="19">
        <v>1116.3</v>
      </c>
      <c r="G176" s="19">
        <v>1109.7</v>
      </c>
      <c r="H176" s="19">
        <v>1117.5999999999999</v>
      </c>
      <c r="I176" s="19">
        <v>1115.5</v>
      </c>
      <c r="J176" s="20">
        <v>1109.5999999999999</v>
      </c>
      <c r="K176" s="11">
        <f t="shared" si="6"/>
        <v>7782.8000000000011</v>
      </c>
      <c r="M176" s="21">
        <f t="shared" si="7"/>
        <v>46011</v>
      </c>
      <c r="N176" s="26">
        <v>3.5547125385925136</v>
      </c>
    </row>
    <row r="177" spans="2:14" x14ac:dyDescent="0.3">
      <c r="B177" s="7">
        <f t="shared" si="8"/>
        <v>46012</v>
      </c>
      <c r="C177" s="18">
        <v>1581.2</v>
      </c>
      <c r="D177" s="19">
        <v>0</v>
      </c>
      <c r="E177" s="19">
        <v>1593.6</v>
      </c>
      <c r="F177" s="19">
        <v>1586.1</v>
      </c>
      <c r="G177" s="19">
        <v>1570.8</v>
      </c>
      <c r="H177" s="19">
        <v>1582.2</v>
      </c>
      <c r="I177" s="19">
        <v>1572.4</v>
      </c>
      <c r="J177" s="20">
        <v>1566.5</v>
      </c>
      <c r="K177" s="11">
        <f t="shared" si="6"/>
        <v>11052.8</v>
      </c>
      <c r="M177" s="21">
        <f t="shared" si="7"/>
        <v>46012</v>
      </c>
      <c r="N177" s="26">
        <v>6.1406498060462251</v>
      </c>
    </row>
    <row r="178" spans="2:14" x14ac:dyDescent="0.3">
      <c r="B178" s="7">
        <f t="shared" si="8"/>
        <v>46013</v>
      </c>
      <c r="C178" s="18">
        <v>2045.4</v>
      </c>
      <c r="D178" s="19">
        <v>0</v>
      </c>
      <c r="E178" s="19">
        <v>2045</v>
      </c>
      <c r="F178" s="19">
        <v>2045.3</v>
      </c>
      <c r="G178" s="19">
        <v>2031.5</v>
      </c>
      <c r="H178" s="19">
        <v>2063.9</v>
      </c>
      <c r="I178" s="19">
        <v>2065</v>
      </c>
      <c r="J178" s="20">
        <v>2059.6999999999998</v>
      </c>
      <c r="K178" s="11">
        <f t="shared" si="6"/>
        <v>14355.8</v>
      </c>
      <c r="M178" s="21">
        <f t="shared" si="7"/>
        <v>46013</v>
      </c>
      <c r="N178" s="26">
        <v>7.4348433813229065</v>
      </c>
    </row>
    <row r="179" spans="2:14" x14ac:dyDescent="0.3">
      <c r="B179" s="7">
        <f t="shared" si="8"/>
        <v>46014</v>
      </c>
      <c r="C179" s="18">
        <v>2273.6999999999998</v>
      </c>
      <c r="D179" s="19">
        <v>0</v>
      </c>
      <c r="E179" s="19">
        <v>2279.1</v>
      </c>
      <c r="F179" s="19">
        <v>2279.1</v>
      </c>
      <c r="G179" s="19">
        <v>2254.9</v>
      </c>
      <c r="H179" s="19">
        <v>2280.1</v>
      </c>
      <c r="I179" s="19">
        <v>2282.5</v>
      </c>
      <c r="J179" s="20">
        <v>2283.1999999999998</v>
      </c>
      <c r="K179" s="11">
        <f t="shared" si="6"/>
        <v>15932.599999999999</v>
      </c>
      <c r="M179" s="21">
        <f t="shared" si="7"/>
        <v>46014</v>
      </c>
      <c r="N179" s="26">
        <v>8.7145231318324665</v>
      </c>
    </row>
    <row r="180" spans="2:14" x14ac:dyDescent="0.3">
      <c r="B180" s="7">
        <f t="shared" si="8"/>
        <v>46015</v>
      </c>
      <c r="C180" s="18">
        <v>1819</v>
      </c>
      <c r="D180" s="19">
        <v>0</v>
      </c>
      <c r="E180" s="19">
        <v>1836.5</v>
      </c>
      <c r="F180" s="19">
        <v>1838.9</v>
      </c>
      <c r="G180" s="19">
        <v>1788.5</v>
      </c>
      <c r="H180" s="19">
        <v>1863.7</v>
      </c>
      <c r="I180" s="19">
        <v>1851.8</v>
      </c>
      <c r="J180" s="20">
        <v>1855.4</v>
      </c>
      <c r="K180" s="11">
        <f t="shared" si="6"/>
        <v>12853.8</v>
      </c>
      <c r="M180" s="21">
        <f t="shared" si="7"/>
        <v>46015</v>
      </c>
      <c r="N180" s="26">
        <v>6.7923919879893351</v>
      </c>
    </row>
    <row r="181" spans="2:14" x14ac:dyDescent="0.3">
      <c r="B181" s="7">
        <f t="shared" si="8"/>
        <v>46016</v>
      </c>
      <c r="C181" s="18">
        <v>1800.3</v>
      </c>
      <c r="D181" s="19">
        <v>0</v>
      </c>
      <c r="E181" s="19">
        <v>1829.2</v>
      </c>
      <c r="F181" s="19">
        <v>1834.3</v>
      </c>
      <c r="G181" s="19">
        <v>1817.1</v>
      </c>
      <c r="H181" s="19">
        <v>1837.5</v>
      </c>
      <c r="I181" s="19">
        <v>1840.7</v>
      </c>
      <c r="J181" s="20">
        <v>1831.3</v>
      </c>
      <c r="K181" s="11">
        <f t="shared" si="6"/>
        <v>12790.4</v>
      </c>
      <c r="M181" s="21">
        <f t="shared" si="7"/>
        <v>46016</v>
      </c>
      <c r="N181" s="26">
        <v>7.1042768423614557</v>
      </c>
    </row>
    <row r="182" spans="2:14" x14ac:dyDescent="0.3">
      <c r="B182" s="7">
        <f t="shared" si="8"/>
        <v>46017</v>
      </c>
      <c r="C182" s="18">
        <v>2391.8000000000002</v>
      </c>
      <c r="D182" s="19">
        <v>0</v>
      </c>
      <c r="E182" s="19">
        <v>2376.3000000000002</v>
      </c>
      <c r="F182" s="19">
        <v>2365</v>
      </c>
      <c r="G182" s="19">
        <v>2337.1</v>
      </c>
      <c r="H182" s="19">
        <v>2363.6999999999998</v>
      </c>
      <c r="I182" s="19">
        <v>2361.6</v>
      </c>
      <c r="J182" s="20">
        <v>2363.1999999999998</v>
      </c>
      <c r="K182" s="11">
        <f t="shared" si="6"/>
        <v>16558.7</v>
      </c>
      <c r="M182" s="21">
        <f t="shared" si="7"/>
        <v>46017</v>
      </c>
      <c r="N182" s="26">
        <v>9.2975685827632528</v>
      </c>
    </row>
    <row r="183" spans="2:14" x14ac:dyDescent="0.3">
      <c r="B183" s="7">
        <f t="shared" si="8"/>
        <v>46018</v>
      </c>
      <c r="C183" s="18">
        <v>1890.5</v>
      </c>
      <c r="D183" s="19">
        <v>0</v>
      </c>
      <c r="E183" s="19">
        <v>1906.2</v>
      </c>
      <c r="F183" s="19">
        <v>1893.9</v>
      </c>
      <c r="G183" s="19">
        <v>1866.4</v>
      </c>
      <c r="H183" s="19">
        <v>1878.4</v>
      </c>
      <c r="I183" s="19">
        <v>1867.9</v>
      </c>
      <c r="J183" s="20">
        <v>1870</v>
      </c>
      <c r="K183" s="11">
        <f t="shared" si="6"/>
        <v>13173.3</v>
      </c>
      <c r="M183" s="21">
        <f t="shared" si="7"/>
        <v>46018</v>
      </c>
      <c r="N183" s="26">
        <v>7.5314937129821447</v>
      </c>
    </row>
    <row r="184" spans="2:14" x14ac:dyDescent="0.3">
      <c r="B184" s="7">
        <f t="shared" si="8"/>
        <v>46019</v>
      </c>
      <c r="C184" s="18">
        <v>1790.6</v>
      </c>
      <c r="D184" s="19">
        <v>0</v>
      </c>
      <c r="E184" s="19">
        <v>1791.4</v>
      </c>
      <c r="F184" s="19">
        <v>1794.2</v>
      </c>
      <c r="G184" s="19">
        <v>1783.8</v>
      </c>
      <c r="H184" s="19">
        <v>1802.7</v>
      </c>
      <c r="I184" s="19">
        <v>1796</v>
      </c>
      <c r="J184" s="20">
        <v>1792.1</v>
      </c>
      <c r="K184" s="11">
        <f t="shared" si="6"/>
        <v>12550.800000000001</v>
      </c>
      <c r="M184" s="21">
        <f t="shared" si="7"/>
        <v>46019</v>
      </c>
      <c r="N184" s="26">
        <v>6.5345121688014531</v>
      </c>
    </row>
    <row r="185" spans="2:14" x14ac:dyDescent="0.3">
      <c r="B185" s="7">
        <f t="shared" si="8"/>
        <v>46020</v>
      </c>
      <c r="C185" s="18">
        <v>1248.2</v>
      </c>
      <c r="D185" s="19">
        <v>0</v>
      </c>
      <c r="E185" s="19">
        <v>1248.0999999999999</v>
      </c>
      <c r="F185" s="19">
        <v>1244.9000000000001</v>
      </c>
      <c r="G185" s="19">
        <v>1228.7</v>
      </c>
      <c r="H185" s="19">
        <v>1248.3</v>
      </c>
      <c r="I185" s="19">
        <v>1238.0999999999999</v>
      </c>
      <c r="J185" s="20">
        <v>1232.3</v>
      </c>
      <c r="K185" s="11">
        <f t="shared" si="6"/>
        <v>8688.6</v>
      </c>
      <c r="M185" s="21">
        <f t="shared" si="7"/>
        <v>46020</v>
      </c>
      <c r="N185" s="26">
        <v>4.6374555145017737</v>
      </c>
    </row>
    <row r="186" spans="2:14" x14ac:dyDescent="0.3">
      <c r="B186" s="7">
        <f t="shared" si="8"/>
        <v>46021</v>
      </c>
      <c r="C186" s="18">
        <v>1166.2</v>
      </c>
      <c r="D186" s="19">
        <v>0</v>
      </c>
      <c r="E186" s="19">
        <v>1161.3</v>
      </c>
      <c r="F186" s="19">
        <v>1159.4000000000001</v>
      </c>
      <c r="G186" s="19">
        <v>1147.4000000000001</v>
      </c>
      <c r="H186" s="19">
        <v>1165.4000000000001</v>
      </c>
      <c r="I186" s="19">
        <v>1156.5999999999999</v>
      </c>
      <c r="J186" s="20">
        <v>1162.8</v>
      </c>
      <c r="K186" s="11">
        <f t="shared" si="6"/>
        <v>8119.1000000000013</v>
      </c>
      <c r="M186" s="21">
        <f t="shared" si="7"/>
        <v>46021</v>
      </c>
      <c r="N186" s="26">
        <v>4.1926022896797619</v>
      </c>
    </row>
    <row r="187" spans="2:14" x14ac:dyDescent="0.3">
      <c r="B187" s="7">
        <f t="shared" si="8"/>
        <v>46022</v>
      </c>
      <c r="C187" s="18">
        <v>1914.9</v>
      </c>
      <c r="D187" s="19">
        <v>0</v>
      </c>
      <c r="E187" s="19">
        <v>1926.8</v>
      </c>
      <c r="F187" s="19">
        <v>1930.2</v>
      </c>
      <c r="G187" s="19">
        <v>1926.5</v>
      </c>
      <c r="H187" s="19">
        <v>1946</v>
      </c>
      <c r="I187" s="19">
        <v>1942.6</v>
      </c>
      <c r="J187" s="20">
        <v>1950.5</v>
      </c>
      <c r="K187" s="11">
        <f t="shared" si="6"/>
        <v>13537.5</v>
      </c>
      <c r="M187" s="21">
        <f t="shared" si="7"/>
        <v>46022</v>
      </c>
      <c r="N187" s="26">
        <v>7.3842803143161815</v>
      </c>
    </row>
    <row r="188" spans="2:14" x14ac:dyDescent="0.3">
      <c r="B188" s="7">
        <v>46023</v>
      </c>
      <c r="C188" s="18">
        <v>2462</v>
      </c>
      <c r="D188" s="19">
        <v>0</v>
      </c>
      <c r="E188" s="19">
        <v>2454.6</v>
      </c>
      <c r="F188" s="19">
        <v>2449.5</v>
      </c>
      <c r="G188" s="19">
        <v>2428.3000000000002</v>
      </c>
      <c r="H188" s="19">
        <v>2449.3000000000002</v>
      </c>
      <c r="I188" s="19">
        <v>2435.1</v>
      </c>
      <c r="J188" s="20">
        <v>2435.5</v>
      </c>
      <c r="K188" s="11">
        <f t="shared" si="6"/>
        <v>17114.300000000003</v>
      </c>
      <c r="M188" s="21">
        <f t="shared" si="7"/>
        <v>46023</v>
      </c>
      <c r="N188" s="26">
        <v>9.5449915807661387</v>
      </c>
    </row>
    <row r="189" spans="2:14" x14ac:dyDescent="0.3">
      <c r="B189" s="7">
        <f>B188+1</f>
        <v>46024</v>
      </c>
      <c r="C189" s="18">
        <v>2009.2</v>
      </c>
      <c r="D189" s="19">
        <v>0</v>
      </c>
      <c r="E189" s="19">
        <v>2013.8</v>
      </c>
      <c r="F189" s="19">
        <v>2015.5</v>
      </c>
      <c r="G189" s="19">
        <v>1993.8</v>
      </c>
      <c r="H189" s="19">
        <v>2014.3</v>
      </c>
      <c r="I189" s="19">
        <v>2006</v>
      </c>
      <c r="J189" s="20">
        <v>2006.9</v>
      </c>
      <c r="K189" s="11">
        <f t="shared" si="6"/>
        <v>14059.5</v>
      </c>
      <c r="M189" s="21">
        <f t="shared" si="7"/>
        <v>46024</v>
      </c>
      <c r="N189" s="26">
        <v>7.6468967979848266</v>
      </c>
    </row>
    <row r="190" spans="2:14" x14ac:dyDescent="0.3">
      <c r="B190" s="7">
        <f t="shared" ref="B190:B218" si="9">B189+1</f>
        <v>46025</v>
      </c>
      <c r="C190" s="18">
        <v>1499.5</v>
      </c>
      <c r="D190" s="19">
        <v>0</v>
      </c>
      <c r="E190" s="19">
        <v>1509.5</v>
      </c>
      <c r="F190" s="19">
        <v>1515.2</v>
      </c>
      <c r="G190" s="19">
        <v>1511.7</v>
      </c>
      <c r="H190" s="19">
        <v>1522.1</v>
      </c>
      <c r="I190" s="19">
        <v>1524.2</v>
      </c>
      <c r="J190" s="20">
        <v>1516.3</v>
      </c>
      <c r="K190" s="11">
        <f t="shared" si="6"/>
        <v>10598.5</v>
      </c>
      <c r="M190" s="21">
        <f t="shared" si="7"/>
        <v>46025</v>
      </c>
      <c r="N190" s="26">
        <v>5.3454309954897745</v>
      </c>
    </row>
    <row r="191" spans="2:14" x14ac:dyDescent="0.3">
      <c r="B191" s="7">
        <f t="shared" si="9"/>
        <v>46026</v>
      </c>
      <c r="C191" s="18">
        <v>1070.7</v>
      </c>
      <c r="D191" s="19">
        <v>0</v>
      </c>
      <c r="E191" s="19">
        <v>1089.5999999999999</v>
      </c>
      <c r="F191" s="19">
        <v>1100.3</v>
      </c>
      <c r="G191" s="19">
        <v>1097.8</v>
      </c>
      <c r="H191" s="19">
        <v>1101.3</v>
      </c>
      <c r="I191" s="19">
        <v>1096.7</v>
      </c>
      <c r="J191" s="20">
        <v>1098.4000000000001</v>
      </c>
      <c r="K191" s="11">
        <f t="shared" si="6"/>
        <v>7654.8000000000011</v>
      </c>
      <c r="M191" s="21">
        <f t="shared" si="7"/>
        <v>46026</v>
      </c>
      <c r="N191" s="26">
        <v>3.2225593540643604</v>
      </c>
    </row>
    <row r="192" spans="2:14" x14ac:dyDescent="0.3">
      <c r="B192" s="7">
        <f t="shared" si="9"/>
        <v>46027</v>
      </c>
      <c r="C192" s="18">
        <v>912.5</v>
      </c>
      <c r="D192" s="19">
        <v>0</v>
      </c>
      <c r="E192" s="19">
        <v>917.3</v>
      </c>
      <c r="F192" s="19">
        <v>921.8</v>
      </c>
      <c r="G192" s="19">
        <v>921.2</v>
      </c>
      <c r="H192" s="19">
        <v>928.7</v>
      </c>
      <c r="I192" s="19">
        <v>925.8</v>
      </c>
      <c r="J192" s="20">
        <v>920.1</v>
      </c>
      <c r="K192" s="11">
        <f t="shared" si="6"/>
        <v>6447.4000000000005</v>
      </c>
      <c r="M192" s="21">
        <f t="shared" si="7"/>
        <v>46027</v>
      </c>
      <c r="N192" s="26">
        <v>2.7966784730174852</v>
      </c>
    </row>
    <row r="193" spans="2:14" x14ac:dyDescent="0.3">
      <c r="B193" s="7">
        <f t="shared" si="9"/>
        <v>46028</v>
      </c>
      <c r="C193" s="18">
        <v>556.79999999999995</v>
      </c>
      <c r="D193" s="19">
        <v>0</v>
      </c>
      <c r="E193" s="19">
        <v>563.79999999999995</v>
      </c>
      <c r="F193" s="19">
        <v>570.4</v>
      </c>
      <c r="G193" s="19">
        <v>572.29999999999995</v>
      </c>
      <c r="H193" s="19">
        <v>580.6</v>
      </c>
      <c r="I193" s="19">
        <v>580.70000000000005</v>
      </c>
      <c r="J193" s="20">
        <v>576.70000000000005</v>
      </c>
      <c r="K193" s="11">
        <f t="shared" si="6"/>
        <v>4001.3</v>
      </c>
      <c r="M193" s="21">
        <f t="shared" si="7"/>
        <v>46028</v>
      </c>
      <c r="N193" s="26">
        <v>1.659967659623379</v>
      </c>
    </row>
    <row r="194" spans="2:14" x14ac:dyDescent="0.3">
      <c r="B194" s="7">
        <f t="shared" si="9"/>
        <v>46029</v>
      </c>
      <c r="C194" s="18">
        <v>902.2</v>
      </c>
      <c r="D194" s="19">
        <v>0</v>
      </c>
      <c r="E194" s="19">
        <v>904.6</v>
      </c>
      <c r="F194" s="19">
        <v>906.9</v>
      </c>
      <c r="G194" s="19">
        <v>908.1</v>
      </c>
      <c r="H194" s="19">
        <v>917.6</v>
      </c>
      <c r="I194" s="19">
        <v>914.7</v>
      </c>
      <c r="J194" s="20">
        <v>911.4</v>
      </c>
      <c r="K194" s="11">
        <f t="shared" si="6"/>
        <v>6365.5</v>
      </c>
      <c r="M194" s="21">
        <f t="shared" si="7"/>
        <v>46029</v>
      </c>
      <c r="N194" s="26">
        <v>2.9096504156398395</v>
      </c>
    </row>
    <row r="195" spans="2:14" x14ac:dyDescent="0.3">
      <c r="B195" s="7">
        <f t="shared" si="9"/>
        <v>46030</v>
      </c>
      <c r="C195" s="18">
        <v>1929</v>
      </c>
      <c r="D195" s="19">
        <v>0</v>
      </c>
      <c r="E195" s="19">
        <v>1930.2</v>
      </c>
      <c r="F195" s="19">
        <v>1936</v>
      </c>
      <c r="G195" s="19">
        <v>1936.3</v>
      </c>
      <c r="H195" s="19">
        <v>1951.8</v>
      </c>
      <c r="I195" s="19">
        <v>1947.4</v>
      </c>
      <c r="J195" s="20">
        <v>1938.2</v>
      </c>
      <c r="K195" s="11">
        <f t="shared" si="6"/>
        <v>13568.9</v>
      </c>
      <c r="M195" s="21">
        <f t="shared" si="7"/>
        <v>46030</v>
      </c>
      <c r="N195" s="26">
        <v>7.4252055758340001</v>
      </c>
    </row>
    <row r="196" spans="2:14" x14ac:dyDescent="0.3">
      <c r="B196" s="7">
        <f t="shared" si="9"/>
        <v>46031</v>
      </c>
      <c r="C196" s="18">
        <v>2037.6</v>
      </c>
      <c r="D196" s="19">
        <v>0</v>
      </c>
      <c r="E196" s="19">
        <v>2029.7</v>
      </c>
      <c r="F196" s="19">
        <v>2032.7</v>
      </c>
      <c r="G196" s="19">
        <v>2022.7</v>
      </c>
      <c r="H196" s="19">
        <v>2047.7</v>
      </c>
      <c r="I196" s="19">
        <v>2028.1</v>
      </c>
      <c r="J196" s="20">
        <v>2020</v>
      </c>
      <c r="K196" s="11">
        <f t="shared" ref="K196:K259" si="10">SUM(C196:J196)</f>
        <v>14218.5</v>
      </c>
      <c r="M196" s="21">
        <f t="shared" si="7"/>
        <v>46031</v>
      </c>
      <c r="N196" s="26">
        <v>7.8777040877813951</v>
      </c>
    </row>
    <row r="197" spans="2:14" x14ac:dyDescent="0.3">
      <c r="B197" s="7">
        <f t="shared" si="9"/>
        <v>46032</v>
      </c>
      <c r="C197" s="18">
        <v>2450.3000000000002</v>
      </c>
      <c r="D197" s="19">
        <v>0</v>
      </c>
      <c r="E197" s="19">
        <v>2515.6999999999998</v>
      </c>
      <c r="F197" s="19">
        <v>2528.3000000000002</v>
      </c>
      <c r="G197" s="19">
        <v>2509.6999999999998</v>
      </c>
      <c r="H197" s="19">
        <v>2540.6</v>
      </c>
      <c r="I197" s="19">
        <v>2526.1</v>
      </c>
      <c r="J197" s="20">
        <v>2526.6</v>
      </c>
      <c r="K197" s="11">
        <f t="shared" si="10"/>
        <v>17597.3</v>
      </c>
      <c r="M197" s="21">
        <f t="shared" ref="M197:M260" si="11">B197</f>
        <v>46032</v>
      </c>
      <c r="N197" s="26">
        <v>9.6039167280841085</v>
      </c>
    </row>
    <row r="198" spans="2:14" x14ac:dyDescent="0.3">
      <c r="B198" s="7">
        <f t="shared" si="9"/>
        <v>46033</v>
      </c>
      <c r="C198" s="18">
        <v>2373.6</v>
      </c>
      <c r="D198" s="19">
        <v>0</v>
      </c>
      <c r="E198" s="19">
        <v>2479.5</v>
      </c>
      <c r="F198" s="19">
        <v>2476.3000000000002</v>
      </c>
      <c r="G198" s="19">
        <v>2448.1</v>
      </c>
      <c r="H198" s="19">
        <v>2458.3000000000002</v>
      </c>
      <c r="I198" s="19">
        <v>2440.1999999999998</v>
      </c>
      <c r="J198" s="20">
        <v>2435.9</v>
      </c>
      <c r="K198" s="11">
        <f t="shared" si="10"/>
        <v>17111.900000000001</v>
      </c>
      <c r="M198" s="21">
        <f t="shared" si="11"/>
        <v>46033</v>
      </c>
      <c r="N198" s="26">
        <v>9.7693850085224359</v>
      </c>
    </row>
    <row r="199" spans="2:14" x14ac:dyDescent="0.3">
      <c r="B199" s="7">
        <f t="shared" si="9"/>
        <v>46034</v>
      </c>
      <c r="C199" s="18">
        <v>1327.4</v>
      </c>
      <c r="D199" s="19">
        <v>0</v>
      </c>
      <c r="E199" s="19">
        <v>1374.3</v>
      </c>
      <c r="F199" s="19">
        <v>1372.2</v>
      </c>
      <c r="G199" s="19">
        <v>1361.7</v>
      </c>
      <c r="H199" s="19">
        <v>1378.3</v>
      </c>
      <c r="I199" s="19">
        <v>1375.1</v>
      </c>
      <c r="J199" s="20">
        <v>1371.2</v>
      </c>
      <c r="K199" s="11">
        <f t="shared" si="10"/>
        <v>9560.2000000000007</v>
      </c>
      <c r="M199" s="21">
        <f t="shared" si="11"/>
        <v>46034</v>
      </c>
      <c r="N199" s="26">
        <v>4.6954401492277666</v>
      </c>
    </row>
    <row r="200" spans="2:14" x14ac:dyDescent="0.3">
      <c r="B200" s="7">
        <f t="shared" si="9"/>
        <v>46035</v>
      </c>
      <c r="C200" s="18">
        <v>1727.2</v>
      </c>
      <c r="D200" s="19">
        <v>0</v>
      </c>
      <c r="E200" s="19">
        <v>1709.3</v>
      </c>
      <c r="F200" s="19">
        <v>1712.4</v>
      </c>
      <c r="G200" s="19">
        <v>1709.3</v>
      </c>
      <c r="H200" s="19">
        <v>1712.6</v>
      </c>
      <c r="I200" s="19">
        <v>1702.9</v>
      </c>
      <c r="J200" s="20">
        <v>1685.6</v>
      </c>
      <c r="K200" s="11">
        <f t="shared" si="10"/>
        <v>11959.3</v>
      </c>
      <c r="M200" s="21">
        <f t="shared" si="11"/>
        <v>46035</v>
      </c>
      <c r="N200" s="26">
        <v>6.1845204316961171</v>
      </c>
    </row>
    <row r="201" spans="2:14" x14ac:dyDescent="0.3">
      <c r="B201" s="7">
        <f t="shared" si="9"/>
        <v>46036</v>
      </c>
      <c r="C201" s="18">
        <v>2016.2</v>
      </c>
      <c r="D201" s="19">
        <v>0</v>
      </c>
      <c r="E201" s="19">
        <v>1800.1</v>
      </c>
      <c r="F201" s="19">
        <v>1907.6</v>
      </c>
      <c r="G201" s="19">
        <v>1977.8</v>
      </c>
      <c r="H201" s="19">
        <v>2000.2</v>
      </c>
      <c r="I201" s="19">
        <v>1988.9</v>
      </c>
      <c r="J201" s="20">
        <v>1985.9</v>
      </c>
      <c r="K201" s="11">
        <f t="shared" si="10"/>
        <v>13676.699999999999</v>
      </c>
      <c r="M201" s="21">
        <f t="shared" si="11"/>
        <v>46036</v>
      </c>
      <c r="N201" s="26">
        <v>7.3645037743902302</v>
      </c>
    </row>
    <row r="202" spans="2:14" x14ac:dyDescent="0.3">
      <c r="B202" s="7">
        <f t="shared" si="9"/>
        <v>46037</v>
      </c>
      <c r="C202" s="18">
        <v>2309.3000000000002</v>
      </c>
      <c r="D202" s="19">
        <v>0</v>
      </c>
      <c r="E202" s="19">
        <v>2301.5</v>
      </c>
      <c r="F202" s="19">
        <v>2285.9</v>
      </c>
      <c r="G202" s="19">
        <v>2240.1999999999998</v>
      </c>
      <c r="H202" s="19">
        <v>2256.6</v>
      </c>
      <c r="I202" s="19">
        <v>2271.3000000000002</v>
      </c>
      <c r="J202" s="20">
        <v>2263.6999999999998</v>
      </c>
      <c r="K202" s="11">
        <f t="shared" si="10"/>
        <v>15928.500000000004</v>
      </c>
      <c r="M202" s="21">
        <f t="shared" si="11"/>
        <v>46037</v>
      </c>
      <c r="N202" s="26">
        <v>8.961118712936198</v>
      </c>
    </row>
    <row r="203" spans="2:14" x14ac:dyDescent="0.3">
      <c r="B203" s="7">
        <f t="shared" si="9"/>
        <v>46038</v>
      </c>
      <c r="C203" s="18">
        <v>2695.2</v>
      </c>
      <c r="D203" s="19">
        <v>0</v>
      </c>
      <c r="E203" s="19">
        <v>2706.6</v>
      </c>
      <c r="F203" s="19">
        <v>2696.1</v>
      </c>
      <c r="G203" s="19">
        <v>2684.1</v>
      </c>
      <c r="H203" s="19">
        <v>2658.2</v>
      </c>
      <c r="I203" s="19">
        <v>2625.5</v>
      </c>
      <c r="J203" s="20">
        <v>2631.1</v>
      </c>
      <c r="K203" s="11">
        <f t="shared" si="10"/>
        <v>18696.8</v>
      </c>
      <c r="M203" s="21">
        <f t="shared" si="11"/>
        <v>46038</v>
      </c>
      <c r="N203" s="26">
        <v>10.525042414555916</v>
      </c>
    </row>
    <row r="204" spans="2:14" x14ac:dyDescent="0.3">
      <c r="B204" s="7">
        <f t="shared" si="9"/>
        <v>46039</v>
      </c>
      <c r="C204" s="18">
        <v>2114.4</v>
      </c>
      <c r="D204" s="19">
        <v>0</v>
      </c>
      <c r="E204" s="19">
        <v>2162.6999999999998</v>
      </c>
      <c r="F204" s="19">
        <v>2144.3000000000002</v>
      </c>
      <c r="G204" s="19">
        <v>2136.6</v>
      </c>
      <c r="H204" s="19">
        <v>2146.6</v>
      </c>
      <c r="I204" s="19">
        <v>2142.8000000000002</v>
      </c>
      <c r="J204" s="20">
        <v>2122.6</v>
      </c>
      <c r="K204" s="11">
        <f t="shared" si="10"/>
        <v>14970.000000000002</v>
      </c>
      <c r="M204" s="21">
        <f t="shared" si="11"/>
        <v>46039</v>
      </c>
      <c r="N204" s="26">
        <v>8.5278366256669624</v>
      </c>
    </row>
    <row r="205" spans="2:14" x14ac:dyDescent="0.3">
      <c r="B205" s="7">
        <f t="shared" si="9"/>
        <v>46040</v>
      </c>
      <c r="C205" s="18">
        <v>1266.5</v>
      </c>
      <c r="D205" s="19">
        <v>0</v>
      </c>
      <c r="E205" s="19">
        <v>1269.7</v>
      </c>
      <c r="F205" s="19">
        <v>1273.5</v>
      </c>
      <c r="G205" s="19">
        <v>1274.4000000000001</v>
      </c>
      <c r="H205" s="19">
        <v>1276</v>
      </c>
      <c r="I205" s="19">
        <v>1267.0999999999999</v>
      </c>
      <c r="J205" s="20">
        <v>1244.9000000000001</v>
      </c>
      <c r="K205" s="11">
        <f t="shared" si="10"/>
        <v>8872.1</v>
      </c>
      <c r="M205" s="21">
        <f t="shared" si="11"/>
        <v>46040</v>
      </c>
      <c r="N205" s="26">
        <v>4.3014825613892089</v>
      </c>
    </row>
    <row r="206" spans="2:14" x14ac:dyDescent="0.3">
      <c r="B206" s="7">
        <f t="shared" si="9"/>
        <v>46041</v>
      </c>
      <c r="C206" s="18">
        <v>1452</v>
      </c>
      <c r="D206" s="19">
        <v>0</v>
      </c>
      <c r="E206" s="19">
        <v>1452.4</v>
      </c>
      <c r="F206" s="19">
        <v>1463.2</v>
      </c>
      <c r="G206" s="19">
        <v>1472</v>
      </c>
      <c r="H206" s="19">
        <v>1479</v>
      </c>
      <c r="I206" s="19">
        <v>1475.6</v>
      </c>
      <c r="J206" s="20">
        <v>1451.2</v>
      </c>
      <c r="K206" s="11">
        <f t="shared" si="10"/>
        <v>10245.400000000001</v>
      </c>
      <c r="M206" s="21">
        <f t="shared" si="11"/>
        <v>46041</v>
      </c>
      <c r="N206" s="26">
        <v>5.012157247081392</v>
      </c>
    </row>
    <row r="207" spans="2:14" x14ac:dyDescent="0.3">
      <c r="B207" s="7">
        <f t="shared" si="9"/>
        <v>46042</v>
      </c>
      <c r="C207" s="18">
        <v>594.70000000000005</v>
      </c>
      <c r="D207" s="19">
        <v>0</v>
      </c>
      <c r="E207" s="19">
        <v>597.79999999999995</v>
      </c>
      <c r="F207" s="19">
        <v>601.79999999999995</v>
      </c>
      <c r="G207" s="19">
        <v>607.70000000000005</v>
      </c>
      <c r="H207" s="19">
        <v>614.20000000000005</v>
      </c>
      <c r="I207" s="19">
        <v>613.9</v>
      </c>
      <c r="J207" s="20">
        <v>607</v>
      </c>
      <c r="K207" s="11">
        <f t="shared" si="10"/>
        <v>4237.1000000000004</v>
      </c>
      <c r="M207" s="21">
        <f t="shared" si="11"/>
        <v>46042</v>
      </c>
      <c r="N207" s="26">
        <v>1.7985479597840419</v>
      </c>
    </row>
    <row r="208" spans="2:14" x14ac:dyDescent="0.3">
      <c r="B208" s="7">
        <f t="shared" si="9"/>
        <v>46043</v>
      </c>
      <c r="C208" s="18">
        <v>1498.8</v>
      </c>
      <c r="D208" s="19">
        <v>0</v>
      </c>
      <c r="E208" s="19">
        <v>1504.3</v>
      </c>
      <c r="F208" s="19">
        <v>1512.2</v>
      </c>
      <c r="G208" s="19">
        <v>1521</v>
      </c>
      <c r="H208" s="19">
        <v>1534.6</v>
      </c>
      <c r="I208" s="19">
        <v>1539</v>
      </c>
      <c r="J208" s="20">
        <v>1509.4</v>
      </c>
      <c r="K208" s="11">
        <f t="shared" si="10"/>
        <v>10619.3</v>
      </c>
      <c r="M208" s="21">
        <f t="shared" si="11"/>
        <v>46043</v>
      </c>
      <c r="N208" s="26">
        <v>5.2791676588116747</v>
      </c>
    </row>
    <row r="209" spans="2:14" x14ac:dyDescent="0.3">
      <c r="B209" s="7">
        <f t="shared" si="9"/>
        <v>46044</v>
      </c>
      <c r="C209" s="18">
        <v>607</v>
      </c>
      <c r="D209" s="19">
        <v>0</v>
      </c>
      <c r="E209" s="19">
        <v>607.4</v>
      </c>
      <c r="F209" s="19">
        <v>612.6</v>
      </c>
      <c r="G209" s="19">
        <v>614.29999999999995</v>
      </c>
      <c r="H209" s="19">
        <v>629.70000000000005</v>
      </c>
      <c r="I209" s="19">
        <v>625.70000000000005</v>
      </c>
      <c r="J209" s="20">
        <v>630.6</v>
      </c>
      <c r="K209" s="11">
        <f t="shared" si="10"/>
        <v>4327.3</v>
      </c>
      <c r="M209" s="21">
        <f t="shared" si="11"/>
        <v>46044</v>
      </c>
      <c r="N209" s="26">
        <v>2.5480384859580716</v>
      </c>
    </row>
    <row r="210" spans="2:14" x14ac:dyDescent="0.3">
      <c r="B210" s="7">
        <f t="shared" si="9"/>
        <v>46045</v>
      </c>
      <c r="C210" s="18">
        <v>1019.4</v>
      </c>
      <c r="D210" s="19">
        <v>0</v>
      </c>
      <c r="E210" s="19">
        <v>1027.3</v>
      </c>
      <c r="F210" s="19">
        <v>1031.4000000000001</v>
      </c>
      <c r="G210" s="19">
        <v>1034.3</v>
      </c>
      <c r="H210" s="19">
        <v>1046.9000000000001</v>
      </c>
      <c r="I210" s="19">
        <v>1052.5999999999999</v>
      </c>
      <c r="J210" s="20">
        <v>1058.9000000000001</v>
      </c>
      <c r="K210" s="11">
        <f t="shared" si="10"/>
        <v>7270.7999999999993</v>
      </c>
      <c r="M210" s="21">
        <f t="shared" si="11"/>
        <v>46045</v>
      </c>
      <c r="N210" s="26">
        <v>3.3466830950040944</v>
      </c>
    </row>
    <row r="211" spans="2:14" x14ac:dyDescent="0.3">
      <c r="B211" s="7">
        <f t="shared" si="9"/>
        <v>46046</v>
      </c>
      <c r="C211" s="18">
        <v>1689.9</v>
      </c>
      <c r="D211" s="19">
        <v>0</v>
      </c>
      <c r="E211" s="19">
        <v>1717.9</v>
      </c>
      <c r="F211" s="19">
        <v>1718.5</v>
      </c>
      <c r="G211" s="19">
        <v>1723.8</v>
      </c>
      <c r="H211" s="19">
        <v>1733.8</v>
      </c>
      <c r="I211" s="19">
        <v>1747.5</v>
      </c>
      <c r="J211" s="20">
        <v>1755.8</v>
      </c>
      <c r="K211" s="11">
        <f t="shared" si="10"/>
        <v>12087.199999999999</v>
      </c>
      <c r="M211" s="21">
        <f t="shared" si="11"/>
        <v>46046</v>
      </c>
      <c r="N211" s="26">
        <v>6.1690880278823776</v>
      </c>
    </row>
    <row r="212" spans="2:14" x14ac:dyDescent="0.3">
      <c r="B212" s="7">
        <f t="shared" si="9"/>
        <v>46047</v>
      </c>
      <c r="C212" s="18">
        <v>892.5</v>
      </c>
      <c r="D212" s="19">
        <v>0</v>
      </c>
      <c r="E212" s="19">
        <v>889.8</v>
      </c>
      <c r="F212" s="19">
        <v>883</v>
      </c>
      <c r="G212" s="19">
        <v>883.4</v>
      </c>
      <c r="H212" s="19">
        <v>895.6</v>
      </c>
      <c r="I212" s="19">
        <v>901.3</v>
      </c>
      <c r="J212" s="20">
        <v>916.8</v>
      </c>
      <c r="K212" s="11">
        <f t="shared" si="10"/>
        <v>6262.4000000000005</v>
      </c>
      <c r="M212" s="21">
        <f t="shared" si="11"/>
        <v>46047</v>
      </c>
      <c r="N212" s="26">
        <v>2.8872448696820028</v>
      </c>
    </row>
    <row r="213" spans="2:14" x14ac:dyDescent="0.3">
      <c r="B213" s="7">
        <f t="shared" si="9"/>
        <v>46048</v>
      </c>
      <c r="C213" s="18">
        <v>2109.8000000000002</v>
      </c>
      <c r="D213" s="19">
        <v>0</v>
      </c>
      <c r="E213" s="19">
        <v>2171.3000000000002</v>
      </c>
      <c r="F213" s="19">
        <v>2187.6999999999998</v>
      </c>
      <c r="G213" s="19">
        <v>2175.5</v>
      </c>
      <c r="H213" s="19">
        <v>2217.5</v>
      </c>
      <c r="I213" s="19">
        <v>2224.6999999999998</v>
      </c>
      <c r="J213" s="20">
        <v>2217.1999999999998</v>
      </c>
      <c r="K213" s="11">
        <f t="shared" si="10"/>
        <v>15303.7</v>
      </c>
      <c r="M213" s="21">
        <f t="shared" si="11"/>
        <v>46048</v>
      </c>
      <c r="N213" s="26">
        <v>8.2278659075476721</v>
      </c>
    </row>
    <row r="214" spans="2:14" x14ac:dyDescent="0.3">
      <c r="B214" s="7">
        <f t="shared" si="9"/>
        <v>46049</v>
      </c>
      <c r="C214" s="18">
        <v>1963.6</v>
      </c>
      <c r="D214" s="19">
        <v>0</v>
      </c>
      <c r="E214" s="19">
        <v>1983.7</v>
      </c>
      <c r="F214" s="19">
        <v>1966.8</v>
      </c>
      <c r="G214" s="19">
        <v>1969.3</v>
      </c>
      <c r="H214" s="19">
        <v>1938.8</v>
      </c>
      <c r="I214" s="19">
        <v>2001.1</v>
      </c>
      <c r="J214" s="20">
        <v>1997</v>
      </c>
      <c r="K214" s="11">
        <f t="shared" si="10"/>
        <v>13820.300000000001</v>
      </c>
      <c r="M214" s="21">
        <f t="shared" si="11"/>
        <v>46049</v>
      </c>
      <c r="N214" s="26">
        <v>7.9068317715388865</v>
      </c>
    </row>
    <row r="215" spans="2:14" x14ac:dyDescent="0.3">
      <c r="B215" s="7">
        <f t="shared" si="9"/>
        <v>46050</v>
      </c>
      <c r="C215" s="18">
        <v>1374.1</v>
      </c>
      <c r="D215" s="19">
        <v>0</v>
      </c>
      <c r="E215" s="19">
        <v>1366.5</v>
      </c>
      <c r="F215" s="19">
        <v>1363.4</v>
      </c>
      <c r="G215" s="19">
        <v>1357</v>
      </c>
      <c r="H215" s="19">
        <v>1364.1</v>
      </c>
      <c r="I215" s="19">
        <v>1367.6</v>
      </c>
      <c r="J215" s="20">
        <v>1368.3</v>
      </c>
      <c r="K215" s="11">
        <f t="shared" si="10"/>
        <v>9561</v>
      </c>
      <c r="M215" s="21">
        <f t="shared" si="11"/>
        <v>46050</v>
      </c>
      <c r="N215" s="26">
        <v>5.272605875601359</v>
      </c>
    </row>
    <row r="216" spans="2:14" x14ac:dyDescent="0.3">
      <c r="B216" s="7">
        <f t="shared" si="9"/>
        <v>46051</v>
      </c>
      <c r="C216" s="18">
        <v>1473.5</v>
      </c>
      <c r="D216" s="19">
        <v>0</v>
      </c>
      <c r="E216" s="19">
        <v>1476.4</v>
      </c>
      <c r="F216" s="19">
        <v>1482.3</v>
      </c>
      <c r="G216" s="19">
        <v>1481.7</v>
      </c>
      <c r="H216" s="19">
        <v>1492.1</v>
      </c>
      <c r="I216" s="19">
        <v>1495.8</v>
      </c>
      <c r="J216" s="20">
        <v>1500.4</v>
      </c>
      <c r="K216" s="11">
        <f t="shared" si="10"/>
        <v>10402.199999999999</v>
      </c>
      <c r="M216" s="21">
        <f t="shared" si="11"/>
        <v>46051</v>
      </c>
      <c r="N216" s="26">
        <v>5.1750495903969975</v>
      </c>
    </row>
    <row r="217" spans="2:14" x14ac:dyDescent="0.3">
      <c r="B217" s="7">
        <f t="shared" si="9"/>
        <v>46052</v>
      </c>
      <c r="C217" s="18">
        <v>1460.5</v>
      </c>
      <c r="D217" s="19">
        <v>0</v>
      </c>
      <c r="E217" s="19">
        <v>1455.6</v>
      </c>
      <c r="F217" s="19">
        <v>1453.7</v>
      </c>
      <c r="G217" s="19">
        <v>1446.3</v>
      </c>
      <c r="H217" s="19">
        <v>1453.7</v>
      </c>
      <c r="I217" s="19">
        <v>1456.2</v>
      </c>
      <c r="J217" s="20">
        <v>1457.9</v>
      </c>
      <c r="K217" s="11">
        <f t="shared" si="10"/>
        <v>10183.9</v>
      </c>
      <c r="M217" s="21">
        <f t="shared" si="11"/>
        <v>46052</v>
      </c>
      <c r="N217" s="26">
        <v>5.3518349252430006</v>
      </c>
    </row>
    <row r="218" spans="2:14" x14ac:dyDescent="0.3">
      <c r="B218" s="7">
        <f t="shared" si="9"/>
        <v>46053</v>
      </c>
      <c r="C218" s="18">
        <v>1563.8</v>
      </c>
      <c r="D218" s="19">
        <v>0</v>
      </c>
      <c r="E218" s="19">
        <v>1638.3</v>
      </c>
      <c r="F218" s="19">
        <v>1642.2</v>
      </c>
      <c r="G218" s="19">
        <v>1576.9</v>
      </c>
      <c r="H218" s="19">
        <v>1612.2</v>
      </c>
      <c r="I218" s="19">
        <v>1614.4</v>
      </c>
      <c r="J218" s="20">
        <v>1592.2</v>
      </c>
      <c r="K218" s="11">
        <f t="shared" si="10"/>
        <v>11240.000000000002</v>
      </c>
      <c r="M218" s="21">
        <f t="shared" si="11"/>
        <v>46053</v>
      </c>
      <c r="N218" s="26">
        <v>6.0921521002203098</v>
      </c>
    </row>
    <row r="219" spans="2:14" x14ac:dyDescent="0.3">
      <c r="B219" s="7">
        <v>46054</v>
      </c>
      <c r="C219" s="18">
        <v>929.7</v>
      </c>
      <c r="D219" s="19">
        <v>0</v>
      </c>
      <c r="E219" s="19">
        <v>1124.5</v>
      </c>
      <c r="F219" s="19">
        <v>1275.7</v>
      </c>
      <c r="G219" s="19">
        <v>652.70000000000005</v>
      </c>
      <c r="H219" s="19">
        <v>919.9</v>
      </c>
      <c r="I219" s="19">
        <v>853.2</v>
      </c>
      <c r="J219" s="20">
        <v>844.7</v>
      </c>
      <c r="K219" s="11">
        <f t="shared" si="10"/>
        <v>6600.3999999999987</v>
      </c>
      <c r="M219" s="21">
        <f t="shared" si="11"/>
        <v>46054</v>
      </c>
      <c r="N219" s="26">
        <v>5.631279468575368</v>
      </c>
    </row>
    <row r="220" spans="2:14" x14ac:dyDescent="0.3">
      <c r="B220" s="7">
        <f>B219+1</f>
        <v>46055</v>
      </c>
      <c r="C220" s="18">
        <v>825.3</v>
      </c>
      <c r="D220" s="19">
        <v>202.7</v>
      </c>
      <c r="E220" s="19">
        <v>1018.5</v>
      </c>
      <c r="F220" s="19">
        <v>1158.4000000000001</v>
      </c>
      <c r="G220" s="19">
        <v>625.20000000000005</v>
      </c>
      <c r="H220" s="19">
        <v>798.2</v>
      </c>
      <c r="I220" s="19">
        <v>762.7</v>
      </c>
      <c r="J220" s="20">
        <v>768.2</v>
      </c>
      <c r="K220" s="11">
        <f t="shared" si="10"/>
        <v>6159.2</v>
      </c>
      <c r="M220" s="21">
        <f t="shared" si="11"/>
        <v>46055</v>
      </c>
      <c r="N220" s="26">
        <v>4.2154586741964586</v>
      </c>
    </row>
    <row r="221" spans="2:14" x14ac:dyDescent="0.3">
      <c r="B221" s="7">
        <f t="shared" ref="B221:B246" si="12">B220+1</f>
        <v>46056</v>
      </c>
      <c r="C221" s="18">
        <v>886.3</v>
      </c>
      <c r="D221" s="19">
        <v>476.1</v>
      </c>
      <c r="E221" s="19">
        <v>1119.3</v>
      </c>
      <c r="F221" s="19">
        <v>1351.4</v>
      </c>
      <c r="G221" s="19">
        <v>408</v>
      </c>
      <c r="H221" s="19">
        <v>759.5</v>
      </c>
      <c r="I221" s="19">
        <v>675.6</v>
      </c>
      <c r="J221" s="20">
        <v>680.4</v>
      </c>
      <c r="K221" s="11">
        <f t="shared" si="10"/>
        <v>6356.6</v>
      </c>
      <c r="M221" s="21">
        <f t="shared" si="11"/>
        <v>46056</v>
      </c>
      <c r="N221" s="26">
        <v>4.8806415104783811</v>
      </c>
    </row>
    <row r="222" spans="2:14" x14ac:dyDescent="0.3">
      <c r="B222" s="7">
        <f t="shared" si="12"/>
        <v>46057</v>
      </c>
      <c r="C222" s="18">
        <v>1357.2</v>
      </c>
      <c r="D222" s="19">
        <v>1313.9</v>
      </c>
      <c r="E222" s="19">
        <v>1333.4</v>
      </c>
      <c r="F222" s="19">
        <v>1375.6</v>
      </c>
      <c r="G222" s="19">
        <v>1270.0999999999999</v>
      </c>
      <c r="H222" s="19">
        <v>1381.9</v>
      </c>
      <c r="I222" s="19">
        <v>1101.8</v>
      </c>
      <c r="J222" s="20">
        <v>1360.8</v>
      </c>
      <c r="K222" s="11">
        <f t="shared" si="10"/>
        <v>10494.699999999999</v>
      </c>
      <c r="M222" s="21">
        <f t="shared" si="11"/>
        <v>46057</v>
      </c>
      <c r="N222" s="26">
        <v>4.9602461935837372</v>
      </c>
    </row>
    <row r="223" spans="2:14" x14ac:dyDescent="0.3">
      <c r="B223" s="7">
        <f t="shared" si="12"/>
        <v>46058</v>
      </c>
      <c r="C223" s="18">
        <v>1121.8</v>
      </c>
      <c r="D223" s="19">
        <v>1133</v>
      </c>
      <c r="E223" s="19">
        <v>1121.9000000000001</v>
      </c>
      <c r="F223" s="19">
        <v>1123.3</v>
      </c>
      <c r="G223" s="19">
        <v>1114.8</v>
      </c>
      <c r="H223" s="19">
        <v>1115.5999999999999</v>
      </c>
      <c r="I223" s="19">
        <v>191</v>
      </c>
      <c r="J223" s="20">
        <v>1106.8</v>
      </c>
      <c r="K223" s="11">
        <f t="shared" si="10"/>
        <v>8028.2</v>
      </c>
      <c r="M223" s="21">
        <f t="shared" si="11"/>
        <v>46058</v>
      </c>
      <c r="N223" s="26">
        <v>4.0006639240993485</v>
      </c>
    </row>
    <row r="224" spans="2:14" x14ac:dyDescent="0.3">
      <c r="B224" s="7">
        <f t="shared" si="12"/>
        <v>46059</v>
      </c>
      <c r="C224" s="18">
        <v>1917.8</v>
      </c>
      <c r="D224" s="19">
        <v>1929.3</v>
      </c>
      <c r="E224" s="19">
        <v>1911.1</v>
      </c>
      <c r="F224" s="19">
        <v>1915</v>
      </c>
      <c r="G224" s="19">
        <v>1914.9</v>
      </c>
      <c r="H224" s="19">
        <v>1919.3</v>
      </c>
      <c r="I224" s="19">
        <v>1845</v>
      </c>
      <c r="J224" s="20">
        <v>1912.7</v>
      </c>
      <c r="K224" s="11">
        <f t="shared" si="10"/>
        <v>15265.1</v>
      </c>
      <c r="M224" s="21">
        <f t="shared" si="11"/>
        <v>46059</v>
      </c>
      <c r="N224" s="26">
        <v>6.9424872837238807</v>
      </c>
    </row>
    <row r="225" spans="2:14" x14ac:dyDescent="0.3">
      <c r="B225" s="7">
        <f t="shared" si="12"/>
        <v>46060</v>
      </c>
      <c r="C225" s="18">
        <v>1946.3</v>
      </c>
      <c r="D225" s="19">
        <v>1997</v>
      </c>
      <c r="E225" s="19">
        <v>2059</v>
      </c>
      <c r="F225" s="19">
        <v>2056.8000000000002</v>
      </c>
      <c r="G225" s="19">
        <v>2039.3</v>
      </c>
      <c r="H225" s="19">
        <v>2078.3000000000002</v>
      </c>
      <c r="I225" s="19">
        <v>2082.1999999999998</v>
      </c>
      <c r="J225" s="20">
        <v>2076.9</v>
      </c>
      <c r="K225" s="11">
        <f t="shared" si="10"/>
        <v>16335.800000000001</v>
      </c>
      <c r="M225" s="21">
        <f t="shared" si="11"/>
        <v>46060</v>
      </c>
      <c r="N225" s="26">
        <v>5.8113019572434252</v>
      </c>
    </row>
    <row r="226" spans="2:14" x14ac:dyDescent="0.3">
      <c r="B226" s="7">
        <f t="shared" si="12"/>
        <v>46061</v>
      </c>
      <c r="C226" s="18">
        <v>1927.2</v>
      </c>
      <c r="D226" s="19">
        <v>1922.8</v>
      </c>
      <c r="E226" s="19">
        <v>1985.9</v>
      </c>
      <c r="F226" s="19">
        <v>1973.1</v>
      </c>
      <c r="G226" s="19">
        <v>1979.9</v>
      </c>
      <c r="H226" s="19">
        <v>2000.2</v>
      </c>
      <c r="I226" s="19">
        <v>2005.8</v>
      </c>
      <c r="J226" s="20">
        <v>2003.4</v>
      </c>
      <c r="K226" s="11">
        <f t="shared" si="10"/>
        <v>15798.3</v>
      </c>
      <c r="M226" s="21">
        <f t="shared" si="11"/>
        <v>46061</v>
      </c>
      <c r="N226" s="26">
        <v>5.9175637997925818</v>
      </c>
    </row>
    <row r="227" spans="2:14" x14ac:dyDescent="0.3">
      <c r="B227" s="7">
        <f t="shared" si="12"/>
        <v>46062</v>
      </c>
      <c r="C227" s="18">
        <v>1487.5</v>
      </c>
      <c r="D227" s="19">
        <v>1503.9</v>
      </c>
      <c r="E227" s="19">
        <v>1501.3</v>
      </c>
      <c r="F227" s="19">
        <v>1502</v>
      </c>
      <c r="G227" s="19">
        <v>1500.7</v>
      </c>
      <c r="H227" s="19">
        <v>1512</v>
      </c>
      <c r="I227" s="19">
        <v>1514.6</v>
      </c>
      <c r="J227" s="20">
        <v>1511.2</v>
      </c>
      <c r="K227" s="11">
        <f t="shared" si="10"/>
        <v>12033.2</v>
      </c>
      <c r="M227" s="21">
        <f t="shared" si="11"/>
        <v>46062</v>
      </c>
      <c r="N227" s="26">
        <v>5.58501640309664</v>
      </c>
    </row>
    <row r="228" spans="2:14" x14ac:dyDescent="0.3">
      <c r="B228" s="7">
        <f t="shared" si="12"/>
        <v>46063</v>
      </c>
      <c r="C228" s="18">
        <v>1658.3</v>
      </c>
      <c r="D228" s="19">
        <v>1667.8</v>
      </c>
      <c r="E228" s="19">
        <v>1659.5</v>
      </c>
      <c r="F228" s="19">
        <v>1656.6</v>
      </c>
      <c r="G228" s="19">
        <v>1657.5</v>
      </c>
      <c r="H228" s="19">
        <v>1676.3</v>
      </c>
      <c r="I228" s="19">
        <v>1681.1</v>
      </c>
      <c r="J228" s="20">
        <v>1683.4</v>
      </c>
      <c r="K228" s="11">
        <f t="shared" si="10"/>
        <v>13340.5</v>
      </c>
      <c r="M228" s="21">
        <f t="shared" si="11"/>
        <v>46063</v>
      </c>
      <c r="N228" s="26">
        <v>6.5715950246426749</v>
      </c>
    </row>
    <row r="229" spans="2:14" x14ac:dyDescent="0.3">
      <c r="B229" s="7">
        <f t="shared" si="12"/>
        <v>46064</v>
      </c>
      <c r="C229" s="18">
        <v>1365.5</v>
      </c>
      <c r="D229" s="19">
        <v>1314.3</v>
      </c>
      <c r="E229" s="19">
        <v>1367.4</v>
      </c>
      <c r="F229" s="19">
        <v>1370.8</v>
      </c>
      <c r="G229" s="19">
        <v>1350.1</v>
      </c>
      <c r="H229" s="19">
        <v>1379.8</v>
      </c>
      <c r="I229" s="19">
        <v>1383.5</v>
      </c>
      <c r="J229" s="20">
        <v>1381</v>
      </c>
      <c r="K229" s="11">
        <f t="shared" si="10"/>
        <v>10912.400000000001</v>
      </c>
      <c r="M229" s="21">
        <f t="shared" si="11"/>
        <v>46064</v>
      </c>
      <c r="N229" s="26">
        <v>4.9940186900595744</v>
      </c>
    </row>
    <row r="230" spans="2:14" x14ac:dyDescent="0.3">
      <c r="B230" s="7">
        <f t="shared" si="12"/>
        <v>46065</v>
      </c>
      <c r="C230" s="18">
        <v>1604.8</v>
      </c>
      <c r="D230" s="19">
        <v>1646.4</v>
      </c>
      <c r="E230" s="19">
        <v>1670.8</v>
      </c>
      <c r="F230" s="19">
        <v>1671.2</v>
      </c>
      <c r="G230" s="19">
        <v>1677.4</v>
      </c>
      <c r="H230" s="19">
        <v>1696.9</v>
      </c>
      <c r="I230" s="19">
        <v>1702.5</v>
      </c>
      <c r="J230" s="20">
        <v>1701.6</v>
      </c>
      <c r="K230" s="11">
        <f t="shared" si="10"/>
        <v>13371.6</v>
      </c>
      <c r="M230" s="21">
        <f t="shared" si="11"/>
        <v>46065</v>
      </c>
      <c r="N230" s="26">
        <v>6.5034974708358328</v>
      </c>
    </row>
    <row r="231" spans="2:14" x14ac:dyDescent="0.3">
      <c r="B231" s="7">
        <f t="shared" si="12"/>
        <v>46066</v>
      </c>
      <c r="C231" s="18">
        <v>1906.4</v>
      </c>
      <c r="D231" s="19">
        <v>1805.3</v>
      </c>
      <c r="E231" s="19">
        <v>1834.9</v>
      </c>
      <c r="F231" s="19">
        <v>1887.9</v>
      </c>
      <c r="G231" s="19">
        <v>1750.7</v>
      </c>
      <c r="H231" s="19">
        <v>1756.7</v>
      </c>
      <c r="I231" s="19">
        <v>1846.9</v>
      </c>
      <c r="J231" s="20">
        <v>1798.8</v>
      </c>
      <c r="K231" s="11">
        <f t="shared" si="10"/>
        <v>14587.6</v>
      </c>
      <c r="M231" s="21">
        <f t="shared" si="11"/>
        <v>46066</v>
      </c>
      <c r="N231" s="26">
        <v>7.4945186192253441</v>
      </c>
    </row>
    <row r="232" spans="2:14" x14ac:dyDescent="0.3">
      <c r="B232" s="7">
        <f t="shared" si="12"/>
        <v>46067</v>
      </c>
      <c r="C232" s="18">
        <v>2099.6999999999998</v>
      </c>
      <c r="D232" s="19">
        <v>2101</v>
      </c>
      <c r="E232" s="19">
        <v>2110.1999999999998</v>
      </c>
      <c r="F232" s="19">
        <v>2092.9</v>
      </c>
      <c r="G232" s="19">
        <v>2088.1999999999998</v>
      </c>
      <c r="H232" s="19">
        <v>2105.1</v>
      </c>
      <c r="I232" s="19">
        <v>2089.8000000000002</v>
      </c>
      <c r="J232" s="20">
        <v>2065.6</v>
      </c>
      <c r="K232" s="11">
        <f t="shared" si="10"/>
        <v>16752.5</v>
      </c>
      <c r="M232" s="21">
        <f t="shared" si="11"/>
        <v>46067</v>
      </c>
      <c r="N232" s="26">
        <v>8.607156058669073</v>
      </c>
    </row>
    <row r="233" spans="2:14" x14ac:dyDescent="0.3">
      <c r="B233" s="7">
        <f t="shared" si="12"/>
        <v>46068</v>
      </c>
      <c r="C233" s="18">
        <v>1978.1</v>
      </c>
      <c r="D233" s="19">
        <v>2126.8000000000002</v>
      </c>
      <c r="E233" s="19">
        <v>2203.6999999999998</v>
      </c>
      <c r="F233" s="19">
        <v>2194.6</v>
      </c>
      <c r="G233" s="19">
        <v>2191.5</v>
      </c>
      <c r="H233" s="19">
        <v>2207.4</v>
      </c>
      <c r="I233" s="19">
        <v>2207.1</v>
      </c>
      <c r="J233" s="20">
        <v>2207.1</v>
      </c>
      <c r="K233" s="11">
        <f t="shared" si="10"/>
        <v>17316.3</v>
      </c>
      <c r="M233" s="21">
        <f t="shared" si="11"/>
        <v>46068</v>
      </c>
      <c r="N233" s="26">
        <v>8.8412048091242585</v>
      </c>
    </row>
    <row r="234" spans="2:14" x14ac:dyDescent="0.3">
      <c r="B234" s="7">
        <f t="shared" si="12"/>
        <v>46069</v>
      </c>
      <c r="C234" s="18">
        <v>1945.2</v>
      </c>
      <c r="D234" s="19">
        <v>2078.4</v>
      </c>
      <c r="E234" s="19">
        <v>2148.5</v>
      </c>
      <c r="F234" s="19">
        <v>2139.6999999999998</v>
      </c>
      <c r="G234" s="19">
        <v>2141.1999999999998</v>
      </c>
      <c r="H234" s="19">
        <v>2163.6999999999998</v>
      </c>
      <c r="I234" s="19">
        <v>2167.5</v>
      </c>
      <c r="J234" s="20">
        <v>2164.5</v>
      </c>
      <c r="K234" s="11">
        <f t="shared" si="10"/>
        <v>16948.7</v>
      </c>
      <c r="M234" s="21">
        <f t="shared" si="11"/>
        <v>46069</v>
      </c>
      <c r="N234" s="26">
        <v>8.6783233720510999</v>
      </c>
    </row>
    <row r="235" spans="2:14" x14ac:dyDescent="0.3">
      <c r="B235" s="7">
        <f t="shared" si="12"/>
        <v>46070</v>
      </c>
      <c r="C235" s="18">
        <v>1724.2</v>
      </c>
      <c r="D235" s="19">
        <v>1857.6</v>
      </c>
      <c r="E235" s="19">
        <v>1939.8</v>
      </c>
      <c r="F235" s="19">
        <v>1936.8</v>
      </c>
      <c r="G235" s="19">
        <v>1950.6</v>
      </c>
      <c r="H235" s="19">
        <v>1974.3</v>
      </c>
      <c r="I235" s="19">
        <v>1986.8</v>
      </c>
      <c r="J235" s="20">
        <v>1985.1</v>
      </c>
      <c r="K235" s="11">
        <f t="shared" si="10"/>
        <v>15355.199999999999</v>
      </c>
      <c r="M235" s="21">
        <f t="shared" si="11"/>
        <v>46070</v>
      </c>
      <c r="N235" s="26">
        <v>7.8908619408185086</v>
      </c>
    </row>
    <row r="236" spans="2:14" x14ac:dyDescent="0.3">
      <c r="B236" s="7">
        <f t="shared" si="12"/>
        <v>46071</v>
      </c>
      <c r="C236" s="18">
        <v>1708.6</v>
      </c>
      <c r="D236" s="19">
        <v>1752.7</v>
      </c>
      <c r="E236" s="19">
        <v>1766.7</v>
      </c>
      <c r="F236" s="19">
        <v>1753.2</v>
      </c>
      <c r="G236" s="19">
        <v>1764.2</v>
      </c>
      <c r="H236" s="19">
        <v>1785.5</v>
      </c>
      <c r="I236" s="19">
        <v>1787.2</v>
      </c>
      <c r="J236" s="20">
        <v>1787.9</v>
      </c>
      <c r="K236" s="11">
        <f t="shared" si="10"/>
        <v>14106</v>
      </c>
      <c r="M236" s="21">
        <f t="shared" si="11"/>
        <v>46071</v>
      </c>
      <c r="N236" s="26">
        <v>6.6901611738831921</v>
      </c>
    </row>
    <row r="237" spans="2:14" x14ac:dyDescent="0.3">
      <c r="B237" s="7">
        <f t="shared" si="12"/>
        <v>46072</v>
      </c>
      <c r="C237" s="18">
        <v>1752.4</v>
      </c>
      <c r="D237" s="19">
        <v>1762.8</v>
      </c>
      <c r="E237" s="19">
        <v>1753.4</v>
      </c>
      <c r="F237" s="19">
        <v>1747.5</v>
      </c>
      <c r="G237" s="19">
        <v>1750.4</v>
      </c>
      <c r="H237" s="19">
        <v>1772.4</v>
      </c>
      <c r="I237" s="19">
        <v>1774</v>
      </c>
      <c r="J237" s="20">
        <v>1771.8</v>
      </c>
      <c r="K237" s="11">
        <f t="shared" si="10"/>
        <v>14084.699999999999</v>
      </c>
      <c r="M237" s="21">
        <f t="shared" si="11"/>
        <v>46072</v>
      </c>
      <c r="N237" s="26">
        <v>6.6423029447480291</v>
      </c>
    </row>
    <row r="238" spans="2:14" x14ac:dyDescent="0.3">
      <c r="B238" s="7">
        <f t="shared" si="12"/>
        <v>46073</v>
      </c>
      <c r="C238" s="18">
        <v>1627.6</v>
      </c>
      <c r="D238" s="19">
        <v>1632.5</v>
      </c>
      <c r="E238" s="19">
        <v>1615.6</v>
      </c>
      <c r="F238" s="19">
        <v>1625.4</v>
      </c>
      <c r="G238" s="19">
        <v>1636.9</v>
      </c>
      <c r="H238" s="19">
        <v>1650.7</v>
      </c>
      <c r="I238" s="19">
        <v>1652.4</v>
      </c>
      <c r="J238" s="20">
        <v>1634.7</v>
      </c>
      <c r="K238" s="11">
        <f t="shared" si="10"/>
        <v>13075.800000000001</v>
      </c>
      <c r="M238" s="21">
        <f t="shared" si="11"/>
        <v>46073</v>
      </c>
      <c r="N238" s="26">
        <v>6.1686918411855443</v>
      </c>
    </row>
    <row r="239" spans="2:14" x14ac:dyDescent="0.3">
      <c r="B239" s="7">
        <f t="shared" si="12"/>
        <v>46074</v>
      </c>
      <c r="C239" s="18">
        <v>1389.2</v>
      </c>
      <c r="D239" s="19">
        <v>1405.7</v>
      </c>
      <c r="E239" s="19">
        <v>1399.9</v>
      </c>
      <c r="F239" s="19">
        <v>1403.7</v>
      </c>
      <c r="G239" s="19">
        <v>1407.7</v>
      </c>
      <c r="H239" s="19">
        <v>1418.3</v>
      </c>
      <c r="I239" s="19">
        <v>1423.1</v>
      </c>
      <c r="J239" s="20">
        <v>1418.5</v>
      </c>
      <c r="K239" s="11">
        <f t="shared" si="10"/>
        <v>11266.1</v>
      </c>
      <c r="M239" s="21">
        <f t="shared" si="11"/>
        <v>46074</v>
      </c>
      <c r="N239" s="26">
        <v>4.4467850491115781</v>
      </c>
    </row>
    <row r="240" spans="2:14" x14ac:dyDescent="0.3">
      <c r="B240" s="7">
        <f t="shared" si="12"/>
        <v>46075</v>
      </c>
      <c r="C240" s="18">
        <v>1348.9</v>
      </c>
      <c r="D240" s="19">
        <v>1363.9</v>
      </c>
      <c r="E240" s="19">
        <v>1351.7</v>
      </c>
      <c r="F240" s="19">
        <v>1348.8</v>
      </c>
      <c r="G240" s="19">
        <v>1344.8</v>
      </c>
      <c r="H240" s="19">
        <v>1351.5</v>
      </c>
      <c r="I240" s="19">
        <v>1348.1</v>
      </c>
      <c r="J240" s="20">
        <v>1335.9</v>
      </c>
      <c r="K240" s="11">
        <f t="shared" si="10"/>
        <v>10793.6</v>
      </c>
      <c r="M240" s="21">
        <f t="shared" si="11"/>
        <v>46075</v>
      </c>
      <c r="N240" s="26">
        <v>4.8727027983084863</v>
      </c>
    </row>
    <row r="241" spans="2:14" x14ac:dyDescent="0.3">
      <c r="B241" s="7">
        <f t="shared" si="12"/>
        <v>46076</v>
      </c>
      <c r="C241" s="18">
        <v>1089.5999999999999</v>
      </c>
      <c r="D241" s="19">
        <v>1100.9000000000001</v>
      </c>
      <c r="E241" s="19">
        <v>1086.5</v>
      </c>
      <c r="F241" s="19">
        <v>1087.7</v>
      </c>
      <c r="G241" s="19">
        <v>1083.5</v>
      </c>
      <c r="H241" s="19">
        <v>1091</v>
      </c>
      <c r="I241" s="19">
        <v>1089.0999999999999</v>
      </c>
      <c r="J241" s="20">
        <v>1086.0999999999999</v>
      </c>
      <c r="K241" s="11">
        <f t="shared" si="10"/>
        <v>8714.4</v>
      </c>
      <c r="M241" s="21">
        <f t="shared" si="11"/>
        <v>46076</v>
      </c>
      <c r="N241" s="26">
        <v>3.4149288323540201</v>
      </c>
    </row>
    <row r="242" spans="2:14" x14ac:dyDescent="0.3">
      <c r="B242" s="7">
        <f t="shared" si="12"/>
        <v>46077</v>
      </c>
      <c r="C242" s="18">
        <v>964.2</v>
      </c>
      <c r="D242" s="19">
        <v>981.3</v>
      </c>
      <c r="E242" s="19">
        <v>970.5</v>
      </c>
      <c r="F242" s="19">
        <v>974.5</v>
      </c>
      <c r="G242" s="19">
        <v>973.2</v>
      </c>
      <c r="H242" s="19">
        <v>983.2</v>
      </c>
      <c r="I242" s="19">
        <v>985.4</v>
      </c>
      <c r="J242" s="20">
        <v>980.9</v>
      </c>
      <c r="K242" s="11">
        <f t="shared" si="10"/>
        <v>7813.1999999999989</v>
      </c>
      <c r="M242" s="21">
        <f t="shared" si="11"/>
        <v>46077</v>
      </c>
      <c r="N242" s="26">
        <v>2.9832999292739317</v>
      </c>
    </row>
    <row r="243" spans="2:14" x14ac:dyDescent="0.3">
      <c r="B243" s="7">
        <f t="shared" si="12"/>
        <v>46078</v>
      </c>
      <c r="C243" s="18">
        <v>1032.2</v>
      </c>
      <c r="D243" s="19">
        <v>1054.0999999999999</v>
      </c>
      <c r="E243" s="19">
        <v>1048.2</v>
      </c>
      <c r="F243" s="19">
        <v>1055.3</v>
      </c>
      <c r="G243" s="19">
        <v>1055.2</v>
      </c>
      <c r="H243" s="19">
        <v>1066.8</v>
      </c>
      <c r="I243" s="19">
        <v>1069.3</v>
      </c>
      <c r="J243" s="20">
        <v>1060.5</v>
      </c>
      <c r="K243" s="11">
        <f t="shared" si="10"/>
        <v>8441.6</v>
      </c>
      <c r="M243" s="21">
        <f t="shared" si="11"/>
        <v>46078</v>
      </c>
      <c r="N243" s="26">
        <v>3.2276306546976117</v>
      </c>
    </row>
    <row r="244" spans="2:14" x14ac:dyDescent="0.3">
      <c r="B244" s="7">
        <f t="shared" si="12"/>
        <v>46079</v>
      </c>
      <c r="C244" s="18">
        <v>1066</v>
      </c>
      <c r="D244" s="19">
        <v>1082</v>
      </c>
      <c r="E244" s="19">
        <v>1073.2</v>
      </c>
      <c r="F244" s="19">
        <v>1078.0999999999999</v>
      </c>
      <c r="G244" s="19">
        <v>1075.9000000000001</v>
      </c>
      <c r="H244" s="19">
        <v>1081.5999999999999</v>
      </c>
      <c r="I244" s="19">
        <v>1083.7</v>
      </c>
      <c r="J244" s="20">
        <v>1080.3</v>
      </c>
      <c r="K244" s="11">
        <f t="shared" si="10"/>
        <v>8620.7999999999993</v>
      </c>
      <c r="M244" s="21">
        <f t="shared" si="11"/>
        <v>46079</v>
      </c>
      <c r="N244" s="26">
        <v>3.3945044751589455</v>
      </c>
    </row>
    <row r="245" spans="2:14" x14ac:dyDescent="0.3">
      <c r="B245" s="7">
        <f t="shared" si="12"/>
        <v>46080</v>
      </c>
      <c r="C245" s="18">
        <v>1264.7</v>
      </c>
      <c r="D245" s="19">
        <v>1276.7</v>
      </c>
      <c r="E245" s="19">
        <v>1262.2</v>
      </c>
      <c r="F245" s="19">
        <v>1264.5</v>
      </c>
      <c r="G245" s="19">
        <v>1244.5</v>
      </c>
      <c r="H245" s="19">
        <v>1271.2</v>
      </c>
      <c r="I245" s="19">
        <v>1267.7</v>
      </c>
      <c r="J245" s="20">
        <v>1257.5999999999999</v>
      </c>
      <c r="K245" s="11">
        <f t="shared" si="10"/>
        <v>10109.1</v>
      </c>
      <c r="M245" s="21">
        <f t="shared" si="11"/>
        <v>46080</v>
      </c>
      <c r="N245" s="26">
        <v>4.8066714228905729</v>
      </c>
    </row>
    <row r="246" spans="2:14" x14ac:dyDescent="0.3">
      <c r="B246" s="7">
        <f t="shared" si="12"/>
        <v>46081</v>
      </c>
      <c r="C246" s="18">
        <v>1792.4</v>
      </c>
      <c r="D246" s="19">
        <v>1738</v>
      </c>
      <c r="E246" s="19">
        <v>1800</v>
      </c>
      <c r="F246" s="19">
        <v>1790.3</v>
      </c>
      <c r="G246" s="19">
        <v>1781.7</v>
      </c>
      <c r="H246" s="19">
        <v>1778.7</v>
      </c>
      <c r="I246" s="19">
        <v>1773.7</v>
      </c>
      <c r="J246" s="20">
        <v>1755.2</v>
      </c>
      <c r="K246" s="11">
        <f t="shared" si="10"/>
        <v>14210.000000000002</v>
      </c>
      <c r="M246" s="21">
        <f t="shared" si="11"/>
        <v>46081</v>
      </c>
      <c r="N246" s="26">
        <v>7.0403324959728897</v>
      </c>
    </row>
    <row r="247" spans="2:14" x14ac:dyDescent="0.3">
      <c r="B247" s="7">
        <v>46082</v>
      </c>
      <c r="C247" s="18">
        <v>0</v>
      </c>
      <c r="D247" s="19">
        <v>0</v>
      </c>
      <c r="E247" s="19">
        <v>0</v>
      </c>
      <c r="F247" s="19">
        <v>0</v>
      </c>
      <c r="G247" s="19">
        <v>0</v>
      </c>
      <c r="H247" s="19">
        <v>0</v>
      </c>
      <c r="I247" s="19">
        <v>0</v>
      </c>
      <c r="J247" s="20">
        <v>0</v>
      </c>
      <c r="K247" s="11">
        <f t="shared" si="10"/>
        <v>0</v>
      </c>
      <c r="M247" s="21">
        <f t="shared" si="11"/>
        <v>46082</v>
      </c>
      <c r="N247" s="26">
        <v>6.6139166666666664</v>
      </c>
    </row>
    <row r="248" spans="2:14" x14ac:dyDescent="0.3">
      <c r="B248" s="7">
        <f>B247+1</f>
        <v>46083</v>
      </c>
      <c r="C248" s="18">
        <v>2132.3000000000002</v>
      </c>
      <c r="D248" s="19">
        <v>2122.8000000000002</v>
      </c>
      <c r="E248" s="19">
        <v>2115.5</v>
      </c>
      <c r="F248" s="19">
        <v>2076.1999999999998</v>
      </c>
      <c r="G248" s="19">
        <v>2129.4</v>
      </c>
      <c r="H248" s="19">
        <v>2149.6</v>
      </c>
      <c r="I248" s="19">
        <v>2140.3000000000002</v>
      </c>
      <c r="J248" s="20">
        <v>2133.1999999999998</v>
      </c>
      <c r="K248" s="11">
        <f t="shared" si="10"/>
        <v>16999.3</v>
      </c>
      <c r="M248" s="21">
        <f t="shared" si="11"/>
        <v>46083</v>
      </c>
      <c r="N248" s="26">
        <v>8.8730975049788245</v>
      </c>
    </row>
    <row r="249" spans="2:14" x14ac:dyDescent="0.3">
      <c r="B249" s="7">
        <f t="shared" ref="B249:B277" si="13">B248+1</f>
        <v>46084</v>
      </c>
      <c r="C249" s="18">
        <v>1483.1</v>
      </c>
      <c r="D249" s="19">
        <v>1498.7</v>
      </c>
      <c r="E249" s="19">
        <v>1496.5</v>
      </c>
      <c r="F249" s="19">
        <v>1467</v>
      </c>
      <c r="G249" s="19">
        <v>1503.2</v>
      </c>
      <c r="H249" s="19">
        <v>1513.6</v>
      </c>
      <c r="I249" s="19">
        <v>1509.7</v>
      </c>
      <c r="J249" s="20">
        <v>1490.8</v>
      </c>
      <c r="K249" s="11">
        <f t="shared" si="10"/>
        <v>11962.6</v>
      </c>
      <c r="M249" s="21">
        <f t="shared" si="11"/>
        <v>46084</v>
      </c>
      <c r="N249" s="26">
        <v>5.4155638231738985</v>
      </c>
    </row>
    <row r="250" spans="2:14" x14ac:dyDescent="0.3">
      <c r="B250" s="7">
        <f t="shared" si="13"/>
        <v>46085</v>
      </c>
      <c r="C250" s="18">
        <v>1694.9</v>
      </c>
      <c r="D250" s="19">
        <v>1705.9</v>
      </c>
      <c r="E250" s="19">
        <v>1694.3</v>
      </c>
      <c r="F250" s="19">
        <v>1627.2</v>
      </c>
      <c r="G250" s="19">
        <v>1697.7</v>
      </c>
      <c r="H250" s="19">
        <v>1719</v>
      </c>
      <c r="I250" s="19">
        <v>1710</v>
      </c>
      <c r="J250" s="20">
        <v>1696.4</v>
      </c>
      <c r="K250" s="11">
        <f t="shared" si="10"/>
        <v>13545.4</v>
      </c>
      <c r="M250" s="21">
        <f t="shared" si="11"/>
        <v>46085</v>
      </c>
      <c r="N250" s="26">
        <v>6.176425349215191</v>
      </c>
    </row>
    <row r="251" spans="2:14" x14ac:dyDescent="0.3">
      <c r="B251" s="7">
        <f t="shared" si="13"/>
        <v>46086</v>
      </c>
      <c r="C251" s="18">
        <v>1996.8</v>
      </c>
      <c r="D251" s="19">
        <v>2079.9</v>
      </c>
      <c r="E251" s="19">
        <v>2058.4</v>
      </c>
      <c r="F251" s="19">
        <v>2057</v>
      </c>
      <c r="G251" s="19">
        <v>2054.1</v>
      </c>
      <c r="H251" s="19">
        <v>2076</v>
      </c>
      <c r="I251" s="19">
        <v>2072.6</v>
      </c>
      <c r="J251" s="20">
        <v>2065.3000000000002</v>
      </c>
      <c r="K251" s="11">
        <f t="shared" si="10"/>
        <v>16460.100000000002</v>
      </c>
      <c r="M251" s="21">
        <f t="shared" si="11"/>
        <v>46086</v>
      </c>
      <c r="N251" s="26">
        <v>8.1290664978076865</v>
      </c>
    </row>
    <row r="252" spans="2:14" x14ac:dyDescent="0.3">
      <c r="B252" s="7">
        <f t="shared" si="13"/>
        <v>46087</v>
      </c>
      <c r="C252" s="18">
        <v>1517.6</v>
      </c>
      <c r="D252" s="19">
        <v>1476.6</v>
      </c>
      <c r="E252" s="19">
        <v>1521.8</v>
      </c>
      <c r="F252" s="19">
        <v>1523.3</v>
      </c>
      <c r="G252" s="19">
        <v>1485.7</v>
      </c>
      <c r="H252" s="19">
        <v>1532.6</v>
      </c>
      <c r="I252" s="19">
        <v>1532.4</v>
      </c>
      <c r="J252" s="20">
        <v>1527.7</v>
      </c>
      <c r="K252" s="11">
        <f t="shared" si="10"/>
        <v>12117.7</v>
      </c>
      <c r="M252" s="21">
        <f t="shared" si="11"/>
        <v>46087</v>
      </c>
      <c r="N252" s="26">
        <v>5.1739347873132688</v>
      </c>
    </row>
    <row r="253" spans="2:14" x14ac:dyDescent="0.3">
      <c r="B253" s="7">
        <f t="shared" si="13"/>
        <v>46088</v>
      </c>
      <c r="C253" s="18">
        <v>1149.8</v>
      </c>
      <c r="D253" s="19">
        <v>1158.0999999999999</v>
      </c>
      <c r="E253" s="19">
        <v>1152.5999999999999</v>
      </c>
      <c r="F253" s="19">
        <v>1150.0999999999999</v>
      </c>
      <c r="G253" s="19">
        <v>1115.9000000000001</v>
      </c>
      <c r="H253" s="19">
        <v>1168.5</v>
      </c>
      <c r="I253" s="19">
        <v>1167</v>
      </c>
      <c r="J253" s="20">
        <v>1160.5999999999999</v>
      </c>
      <c r="K253" s="11">
        <f t="shared" si="10"/>
        <v>9222.6</v>
      </c>
      <c r="M253" s="21">
        <f t="shared" si="11"/>
        <v>46088</v>
      </c>
      <c r="N253" s="26">
        <v>3.576917945142212</v>
      </c>
    </row>
    <row r="254" spans="2:14" x14ac:dyDescent="0.3">
      <c r="B254" s="7">
        <f t="shared" si="13"/>
        <v>46089</v>
      </c>
      <c r="C254" s="18">
        <v>871</v>
      </c>
      <c r="D254" s="19">
        <v>1148.5</v>
      </c>
      <c r="E254" s="19">
        <v>1176.8</v>
      </c>
      <c r="F254" s="19">
        <v>1186.5</v>
      </c>
      <c r="G254" s="19">
        <v>1194.7</v>
      </c>
      <c r="H254" s="19">
        <v>1229.8</v>
      </c>
      <c r="I254" s="19">
        <v>1240.4000000000001</v>
      </c>
      <c r="J254" s="20">
        <v>1240</v>
      </c>
      <c r="K254" s="11">
        <f t="shared" si="10"/>
        <v>9287.7000000000007</v>
      </c>
      <c r="M254" s="21">
        <f t="shared" si="11"/>
        <v>46089</v>
      </c>
      <c r="N254" s="26">
        <v>3.176253696826747</v>
      </c>
    </row>
    <row r="255" spans="2:14" x14ac:dyDescent="0.3">
      <c r="B255" s="7">
        <f t="shared" si="13"/>
        <v>46090</v>
      </c>
      <c r="C255" s="18">
        <v>1676.3</v>
      </c>
      <c r="D255" s="19">
        <v>1697.5</v>
      </c>
      <c r="E255" s="19">
        <v>1689.9</v>
      </c>
      <c r="F255" s="19">
        <v>1692.8</v>
      </c>
      <c r="G255" s="19">
        <v>1690.8</v>
      </c>
      <c r="H255" s="19">
        <v>1700</v>
      </c>
      <c r="I255" s="19">
        <v>1700</v>
      </c>
      <c r="J255" s="20">
        <v>1686.5</v>
      </c>
      <c r="K255" s="11">
        <f t="shared" si="10"/>
        <v>13533.800000000001</v>
      </c>
      <c r="M255" s="21">
        <f t="shared" si="11"/>
        <v>46090</v>
      </c>
      <c r="N255" s="26">
        <v>6.5054274217266856</v>
      </c>
    </row>
    <row r="256" spans="2:14" x14ac:dyDescent="0.3">
      <c r="B256" s="7">
        <f t="shared" si="13"/>
        <v>46091</v>
      </c>
      <c r="C256" s="18">
        <v>1894.3</v>
      </c>
      <c r="D256" s="19">
        <v>1913.7</v>
      </c>
      <c r="E256" s="19">
        <v>1900.8</v>
      </c>
      <c r="F256" s="19">
        <v>1890.1</v>
      </c>
      <c r="G256" s="19">
        <v>1817.6</v>
      </c>
      <c r="H256" s="19">
        <v>1890.4</v>
      </c>
      <c r="I256" s="19">
        <v>1890</v>
      </c>
      <c r="J256" s="20">
        <v>1885</v>
      </c>
      <c r="K256" s="11">
        <f t="shared" si="10"/>
        <v>15081.9</v>
      </c>
      <c r="M256" s="21">
        <f t="shared" si="11"/>
        <v>46091</v>
      </c>
      <c r="N256" s="26">
        <v>7.0281211790690712</v>
      </c>
    </row>
    <row r="257" spans="2:14" x14ac:dyDescent="0.3">
      <c r="B257" s="7">
        <f t="shared" si="13"/>
        <v>46092</v>
      </c>
      <c r="C257" s="18">
        <v>1363.9</v>
      </c>
      <c r="D257" s="19">
        <v>1371.8</v>
      </c>
      <c r="E257" s="19">
        <v>1353.6</v>
      </c>
      <c r="F257" s="19">
        <v>1341.3</v>
      </c>
      <c r="G257" s="19">
        <v>1338.7</v>
      </c>
      <c r="H257" s="19">
        <v>1357.2</v>
      </c>
      <c r="I257" s="19">
        <v>1360.3</v>
      </c>
      <c r="J257" s="20">
        <v>1352.2</v>
      </c>
      <c r="K257" s="11">
        <f t="shared" si="10"/>
        <v>10839</v>
      </c>
      <c r="M257" s="21">
        <f t="shared" si="11"/>
        <v>46092</v>
      </c>
      <c r="N257" s="26">
        <v>4.9947148531277881</v>
      </c>
    </row>
    <row r="258" spans="2:14" x14ac:dyDescent="0.3">
      <c r="B258" s="7">
        <f t="shared" si="13"/>
        <v>46093</v>
      </c>
      <c r="C258" s="18">
        <v>961.9</v>
      </c>
      <c r="D258" s="19">
        <v>957</v>
      </c>
      <c r="E258" s="19">
        <v>977.6</v>
      </c>
      <c r="F258" s="19">
        <v>982.4</v>
      </c>
      <c r="G258" s="19">
        <v>980.9</v>
      </c>
      <c r="H258" s="19">
        <v>989.3</v>
      </c>
      <c r="I258" s="19">
        <v>991.2</v>
      </c>
      <c r="J258" s="20">
        <v>984.5</v>
      </c>
      <c r="K258" s="11">
        <f t="shared" si="10"/>
        <v>7824.8</v>
      </c>
      <c r="M258" s="21">
        <f t="shared" si="11"/>
        <v>46093</v>
      </c>
      <c r="N258" s="26">
        <v>3.0589381603288111</v>
      </c>
    </row>
    <row r="259" spans="2:14" x14ac:dyDescent="0.3">
      <c r="B259" s="7">
        <f t="shared" si="13"/>
        <v>46094</v>
      </c>
      <c r="C259" s="18">
        <v>2139.1</v>
      </c>
      <c r="D259" s="19">
        <v>2146.1999999999998</v>
      </c>
      <c r="E259" s="19">
        <v>2126</v>
      </c>
      <c r="F259" s="19">
        <v>2123.6</v>
      </c>
      <c r="G259" s="19">
        <v>2116.6999999999998</v>
      </c>
      <c r="H259" s="19">
        <v>2155.6999999999998</v>
      </c>
      <c r="I259" s="19">
        <v>2156.1999999999998</v>
      </c>
      <c r="J259" s="20">
        <v>2153.1</v>
      </c>
      <c r="K259" s="11">
        <f t="shared" si="10"/>
        <v>17116.599999999999</v>
      </c>
      <c r="M259" s="21">
        <f t="shared" si="11"/>
        <v>46094</v>
      </c>
      <c r="N259" s="26">
        <v>8.2568875891958822</v>
      </c>
    </row>
    <row r="260" spans="2:14" x14ac:dyDescent="0.3">
      <c r="B260" s="7">
        <f t="shared" si="13"/>
        <v>46095</v>
      </c>
      <c r="C260" s="18">
        <v>1185.3</v>
      </c>
      <c r="D260" s="19">
        <v>1192.0999999999999</v>
      </c>
      <c r="E260" s="19">
        <v>1169</v>
      </c>
      <c r="F260" s="19">
        <v>1165.9000000000001</v>
      </c>
      <c r="G260" s="19">
        <v>1158.5</v>
      </c>
      <c r="H260" s="19">
        <v>1172.8</v>
      </c>
      <c r="I260" s="19">
        <v>1171.3</v>
      </c>
      <c r="J260" s="20">
        <v>1159.7</v>
      </c>
      <c r="K260" s="11">
        <f t="shared" ref="K260:K277" si="14">SUM(C260:J260)</f>
        <v>9374.6</v>
      </c>
      <c r="M260" s="21">
        <f t="shared" si="11"/>
        <v>46095</v>
      </c>
      <c r="N260" s="26">
        <v>4.1441020701577198</v>
      </c>
    </row>
    <row r="261" spans="2:14" x14ac:dyDescent="0.3">
      <c r="B261" s="7">
        <f t="shared" si="13"/>
        <v>46096</v>
      </c>
      <c r="C261" s="18">
        <v>1411.9</v>
      </c>
      <c r="D261" s="19">
        <v>1422</v>
      </c>
      <c r="E261" s="19">
        <v>1434.7</v>
      </c>
      <c r="F261" s="19">
        <v>1434</v>
      </c>
      <c r="G261" s="19">
        <v>1425.5</v>
      </c>
      <c r="H261" s="19">
        <v>1440.4</v>
      </c>
      <c r="I261" s="19">
        <v>1439.6</v>
      </c>
      <c r="J261" s="20">
        <v>1430.1</v>
      </c>
      <c r="K261" s="11">
        <f t="shared" si="14"/>
        <v>11438.2</v>
      </c>
      <c r="M261" s="21">
        <f t="shared" ref="M261:M324" si="15">B261</f>
        <v>46096</v>
      </c>
      <c r="N261" s="26">
        <v>5.5411459423267981</v>
      </c>
    </row>
    <row r="262" spans="2:14" x14ac:dyDescent="0.3">
      <c r="B262" s="7">
        <f t="shared" si="13"/>
        <v>46097</v>
      </c>
      <c r="C262" s="18">
        <v>1472.7</v>
      </c>
      <c r="D262" s="19">
        <v>1834.5</v>
      </c>
      <c r="E262" s="19">
        <v>1851</v>
      </c>
      <c r="F262" s="19">
        <v>1850.7</v>
      </c>
      <c r="G262" s="19">
        <v>1841.4</v>
      </c>
      <c r="H262" s="19">
        <v>1856.9</v>
      </c>
      <c r="I262" s="19">
        <v>1860.1</v>
      </c>
      <c r="J262" s="20">
        <v>1849.5</v>
      </c>
      <c r="K262" s="11">
        <f t="shared" si="14"/>
        <v>14416.8</v>
      </c>
      <c r="M262" s="21">
        <f t="shared" si="15"/>
        <v>46097</v>
      </c>
      <c r="N262" s="26">
        <v>5.9103147116080832</v>
      </c>
    </row>
    <row r="263" spans="2:14" x14ac:dyDescent="0.3">
      <c r="B263" s="7">
        <f t="shared" si="13"/>
        <v>46098</v>
      </c>
      <c r="C263" s="18">
        <v>1103</v>
      </c>
      <c r="D263" s="19">
        <v>1114.0999999999999</v>
      </c>
      <c r="E263" s="19">
        <v>1104.5999999999999</v>
      </c>
      <c r="F263" s="19">
        <v>1103.7</v>
      </c>
      <c r="G263" s="19">
        <v>1099.2</v>
      </c>
      <c r="H263" s="19">
        <v>1105.4000000000001</v>
      </c>
      <c r="I263" s="19">
        <v>1102.3</v>
      </c>
      <c r="J263" s="20">
        <v>1090</v>
      </c>
      <c r="K263" s="11">
        <f t="shared" si="14"/>
        <v>8822.2999999999993</v>
      </c>
      <c r="M263" s="21">
        <f t="shared" si="15"/>
        <v>46098</v>
      </c>
      <c r="N263" s="26">
        <v>3.6553012513431362</v>
      </c>
    </row>
    <row r="264" spans="2:14" x14ac:dyDescent="0.3">
      <c r="B264" s="7">
        <f t="shared" si="13"/>
        <v>46099</v>
      </c>
      <c r="C264" s="18">
        <v>1579.9</v>
      </c>
      <c r="D264" s="19">
        <v>1601.1</v>
      </c>
      <c r="E264" s="19">
        <v>1623.6</v>
      </c>
      <c r="F264" s="19">
        <v>1634.9</v>
      </c>
      <c r="G264" s="19">
        <v>1636</v>
      </c>
      <c r="H264" s="19">
        <v>1655.7</v>
      </c>
      <c r="I264" s="19">
        <v>1661.5</v>
      </c>
      <c r="J264" s="20">
        <v>1644.7</v>
      </c>
      <c r="K264" s="11">
        <f t="shared" si="14"/>
        <v>13037.400000000001</v>
      </c>
      <c r="M264" s="21">
        <f t="shared" si="15"/>
        <v>46099</v>
      </c>
      <c r="N264" s="26">
        <v>5.4060870017868723</v>
      </c>
    </row>
    <row r="265" spans="2:14" x14ac:dyDescent="0.3">
      <c r="B265" s="7">
        <f t="shared" si="13"/>
        <v>46100</v>
      </c>
      <c r="C265" s="18">
        <v>1887.4</v>
      </c>
      <c r="D265" s="19">
        <v>1893.8</v>
      </c>
      <c r="E265" s="19">
        <v>1922.5</v>
      </c>
      <c r="F265" s="19">
        <v>1929.5</v>
      </c>
      <c r="G265" s="19">
        <v>1918.2</v>
      </c>
      <c r="H265" s="19">
        <v>1938.2</v>
      </c>
      <c r="I265" s="19">
        <v>1940.5</v>
      </c>
      <c r="J265" s="20">
        <v>1924.4</v>
      </c>
      <c r="K265" s="11">
        <f t="shared" si="14"/>
        <v>15354.5</v>
      </c>
      <c r="M265" s="21">
        <f t="shared" si="15"/>
        <v>46100</v>
      </c>
      <c r="N265" s="26">
        <v>7.3086196551521487</v>
      </c>
    </row>
    <row r="266" spans="2:14" x14ac:dyDescent="0.3">
      <c r="B266" s="7">
        <f t="shared" si="13"/>
        <v>46101</v>
      </c>
      <c r="C266" s="18">
        <v>1216.7</v>
      </c>
      <c r="D266" s="19">
        <v>1227.4000000000001</v>
      </c>
      <c r="E266" s="19">
        <v>1214.3</v>
      </c>
      <c r="F266" s="19">
        <v>1221.0999999999999</v>
      </c>
      <c r="G266" s="19">
        <v>1216.8</v>
      </c>
      <c r="H266" s="19">
        <v>1239.8</v>
      </c>
      <c r="I266" s="19">
        <v>1247.4000000000001</v>
      </c>
      <c r="J266" s="20">
        <v>1245.5999999999999</v>
      </c>
      <c r="K266" s="11">
        <f t="shared" si="14"/>
        <v>9829.1</v>
      </c>
      <c r="M266" s="21">
        <f t="shared" si="15"/>
        <v>46101</v>
      </c>
      <c r="N266" s="26">
        <v>4.5896066077972337</v>
      </c>
    </row>
    <row r="267" spans="2:14" x14ac:dyDescent="0.3">
      <c r="B267" s="7">
        <f t="shared" si="13"/>
        <v>46102</v>
      </c>
      <c r="C267" s="18">
        <v>1568.4</v>
      </c>
      <c r="D267" s="19">
        <v>1618.9</v>
      </c>
      <c r="E267" s="19">
        <v>1611</v>
      </c>
      <c r="F267" s="19">
        <v>1630.9</v>
      </c>
      <c r="G267" s="19">
        <v>1623.8</v>
      </c>
      <c r="H267" s="19">
        <v>1637.4</v>
      </c>
      <c r="I267" s="19">
        <v>1643.4</v>
      </c>
      <c r="J267" s="20">
        <v>1634.6</v>
      </c>
      <c r="K267" s="11">
        <f t="shared" si="14"/>
        <v>12968.400000000001</v>
      </c>
      <c r="M267" s="21">
        <f t="shared" si="15"/>
        <v>46102</v>
      </c>
      <c r="N267" s="26">
        <v>5.155400202052661</v>
      </c>
    </row>
    <row r="268" spans="2:14" x14ac:dyDescent="0.3">
      <c r="B268" s="7">
        <f t="shared" si="13"/>
        <v>46103</v>
      </c>
      <c r="C268" s="18">
        <v>1178.7</v>
      </c>
      <c r="D268" s="19">
        <v>1226</v>
      </c>
      <c r="E268" s="19">
        <v>1242.9000000000001</v>
      </c>
      <c r="F268" s="19">
        <v>1262.7</v>
      </c>
      <c r="G268" s="19">
        <v>1257.8</v>
      </c>
      <c r="H268" s="19">
        <v>1274.0999999999999</v>
      </c>
      <c r="I268" s="19">
        <v>1276.2</v>
      </c>
      <c r="J268" s="20">
        <v>1262.3</v>
      </c>
      <c r="K268" s="11">
        <f t="shared" si="14"/>
        <v>9980.7000000000007</v>
      </c>
      <c r="M268" s="21">
        <f t="shared" si="15"/>
        <v>46103</v>
      </c>
      <c r="N268" s="26">
        <v>4.0158437333268369</v>
      </c>
    </row>
    <row r="269" spans="2:14" x14ac:dyDescent="0.3">
      <c r="B269" s="7">
        <f t="shared" si="13"/>
        <v>46104</v>
      </c>
      <c r="C269" s="18">
        <v>1648.9</v>
      </c>
      <c r="D269" s="19">
        <v>1738.1</v>
      </c>
      <c r="E269" s="19">
        <v>1718</v>
      </c>
      <c r="F269" s="19">
        <v>1791.9</v>
      </c>
      <c r="G269" s="19">
        <v>1782.8</v>
      </c>
      <c r="H269" s="19">
        <v>1827.1</v>
      </c>
      <c r="I269" s="19">
        <v>1835.8</v>
      </c>
      <c r="J269" s="20">
        <v>1829.4</v>
      </c>
      <c r="K269" s="11">
        <f t="shared" si="14"/>
        <v>14171.999999999998</v>
      </c>
      <c r="M269" s="21">
        <f t="shared" si="15"/>
        <v>46104</v>
      </c>
      <c r="N269" s="26">
        <v>5.6190060323784818</v>
      </c>
    </row>
    <row r="270" spans="2:14" x14ac:dyDescent="0.3">
      <c r="B270" s="7">
        <f t="shared" si="13"/>
        <v>46105</v>
      </c>
      <c r="C270" s="18">
        <v>1534.4</v>
      </c>
      <c r="D270" s="19">
        <v>1625.8</v>
      </c>
      <c r="E270" s="19">
        <v>1599.9</v>
      </c>
      <c r="F270" s="19">
        <v>1684.4</v>
      </c>
      <c r="G270" s="19">
        <v>1681</v>
      </c>
      <c r="H270" s="19">
        <v>1699.4</v>
      </c>
      <c r="I270" s="19">
        <v>1702.4</v>
      </c>
      <c r="J270" s="20">
        <v>1682.8</v>
      </c>
      <c r="K270" s="11">
        <f t="shared" si="14"/>
        <v>13210.099999999999</v>
      </c>
      <c r="M270" s="21">
        <f t="shared" si="15"/>
        <v>46105</v>
      </c>
      <c r="N270" s="26">
        <v>5.4857289491118193</v>
      </c>
    </row>
    <row r="271" spans="2:14" x14ac:dyDescent="0.3">
      <c r="B271" s="7">
        <f t="shared" si="13"/>
        <v>46106</v>
      </c>
      <c r="C271" s="18">
        <v>1667.5</v>
      </c>
      <c r="D271" s="19">
        <v>1681.2</v>
      </c>
      <c r="E271" s="19">
        <v>1667.3</v>
      </c>
      <c r="F271" s="19">
        <v>1675.6</v>
      </c>
      <c r="G271" s="19">
        <v>1671.6</v>
      </c>
      <c r="H271" s="19">
        <v>1674.6</v>
      </c>
      <c r="I271" s="19">
        <v>1677.7</v>
      </c>
      <c r="J271" s="20">
        <v>1661.9</v>
      </c>
      <c r="K271" s="11">
        <f t="shared" si="14"/>
        <v>13377.400000000001</v>
      </c>
      <c r="M271" s="21">
        <f t="shared" si="15"/>
        <v>46106</v>
      </c>
      <c r="N271" s="26">
        <v>6.0067634834827155</v>
      </c>
    </row>
    <row r="272" spans="2:14" x14ac:dyDescent="0.3">
      <c r="B272" s="7">
        <f t="shared" si="13"/>
        <v>46107</v>
      </c>
      <c r="C272" s="18">
        <v>1307.5999999999999</v>
      </c>
      <c r="D272" s="19">
        <v>1300</v>
      </c>
      <c r="E272" s="19">
        <v>1321.7</v>
      </c>
      <c r="F272" s="19">
        <v>1343.2</v>
      </c>
      <c r="G272" s="19">
        <v>1295.5999999999999</v>
      </c>
      <c r="H272" s="19">
        <v>1349</v>
      </c>
      <c r="I272" s="19">
        <v>1346.9</v>
      </c>
      <c r="J272" s="20">
        <v>1336.6</v>
      </c>
      <c r="K272" s="11">
        <f t="shared" si="14"/>
        <v>10600.6</v>
      </c>
      <c r="M272" s="21">
        <f t="shared" si="15"/>
        <v>46107</v>
      </c>
      <c r="N272" s="26">
        <v>4.4510262129606293</v>
      </c>
    </row>
    <row r="273" spans="2:14" x14ac:dyDescent="0.3">
      <c r="B273" s="7">
        <f t="shared" si="13"/>
        <v>46108</v>
      </c>
      <c r="C273" s="18">
        <v>1618.8</v>
      </c>
      <c r="D273" s="19">
        <v>1647.3</v>
      </c>
      <c r="E273" s="19">
        <v>1633.3</v>
      </c>
      <c r="F273" s="19">
        <v>1651.6</v>
      </c>
      <c r="G273" s="19">
        <v>1652.1</v>
      </c>
      <c r="H273" s="19">
        <v>1683.1</v>
      </c>
      <c r="I273" s="19">
        <v>1694.6</v>
      </c>
      <c r="J273" s="20">
        <v>1672.7</v>
      </c>
      <c r="K273" s="11">
        <f t="shared" si="14"/>
        <v>13253.500000000002</v>
      </c>
      <c r="M273" s="21">
        <f t="shared" si="15"/>
        <v>46108</v>
      </c>
      <c r="N273" s="26">
        <v>5.8637483194321263</v>
      </c>
    </row>
    <row r="274" spans="2:14" x14ac:dyDescent="0.3">
      <c r="B274" s="7">
        <f t="shared" si="13"/>
        <v>46109</v>
      </c>
      <c r="C274" s="18">
        <v>1408.8</v>
      </c>
      <c r="D274" s="19">
        <v>1590.5</v>
      </c>
      <c r="E274" s="19">
        <v>1588.3</v>
      </c>
      <c r="F274" s="19">
        <v>1697.6</v>
      </c>
      <c r="G274" s="19">
        <v>1696.7</v>
      </c>
      <c r="H274" s="19">
        <v>1710.1</v>
      </c>
      <c r="I274" s="19">
        <v>1718.8</v>
      </c>
      <c r="J274" s="20">
        <v>1709.1</v>
      </c>
      <c r="K274" s="11">
        <f t="shared" si="14"/>
        <v>13119.9</v>
      </c>
      <c r="M274" s="21">
        <f t="shared" si="15"/>
        <v>46109</v>
      </c>
      <c r="N274" s="26">
        <v>5.7940011952001669</v>
      </c>
    </row>
    <row r="275" spans="2:14" x14ac:dyDescent="0.3">
      <c r="B275" s="7">
        <f t="shared" si="13"/>
        <v>46110</v>
      </c>
      <c r="C275" s="18">
        <v>1767.5</v>
      </c>
      <c r="D275" s="19">
        <v>1906.9</v>
      </c>
      <c r="E275" s="19">
        <v>1877.2</v>
      </c>
      <c r="F275" s="19">
        <v>1950.4</v>
      </c>
      <c r="G275" s="19">
        <v>1936.2</v>
      </c>
      <c r="H275" s="19">
        <v>1962.5</v>
      </c>
      <c r="I275" s="19">
        <v>1966.2</v>
      </c>
      <c r="J275" s="20">
        <v>1958.6</v>
      </c>
      <c r="K275" s="11">
        <f t="shared" si="14"/>
        <v>15325.500000000002</v>
      </c>
      <c r="M275" s="21">
        <f t="shared" si="15"/>
        <v>46110</v>
      </c>
      <c r="N275" s="26">
        <v>6.0647419002004996</v>
      </c>
    </row>
    <row r="276" spans="2:14" x14ac:dyDescent="0.3">
      <c r="B276" s="7">
        <f t="shared" si="13"/>
        <v>46111</v>
      </c>
      <c r="C276" s="18">
        <v>1892.6</v>
      </c>
      <c r="D276" s="19">
        <v>1903.5</v>
      </c>
      <c r="E276" s="19">
        <v>1921.2</v>
      </c>
      <c r="F276" s="19">
        <v>1933.7</v>
      </c>
      <c r="G276" s="19">
        <v>1919.6</v>
      </c>
      <c r="H276" s="19">
        <v>1943.3</v>
      </c>
      <c r="I276" s="19">
        <v>1941.6</v>
      </c>
      <c r="J276" s="20">
        <v>1918.6</v>
      </c>
      <c r="K276" s="11">
        <f t="shared" si="14"/>
        <v>15374.1</v>
      </c>
      <c r="M276" s="21">
        <f t="shared" si="15"/>
        <v>46111</v>
      </c>
      <c r="N276" s="26">
        <v>7.485669972277547</v>
      </c>
    </row>
    <row r="277" spans="2:14" x14ac:dyDescent="0.3">
      <c r="B277" s="7">
        <f t="shared" si="13"/>
        <v>46112</v>
      </c>
      <c r="C277" s="18">
        <v>1757.5</v>
      </c>
      <c r="D277" s="19">
        <v>1719.4</v>
      </c>
      <c r="E277" s="19">
        <v>1730.1</v>
      </c>
      <c r="F277" s="19">
        <v>1738.5</v>
      </c>
      <c r="G277" s="19">
        <v>1585.5</v>
      </c>
      <c r="H277" s="19">
        <v>1756</v>
      </c>
      <c r="I277" s="19">
        <v>1762.3</v>
      </c>
      <c r="J277" s="20">
        <v>1745</v>
      </c>
      <c r="K277" s="11">
        <f t="shared" si="14"/>
        <v>13794.3</v>
      </c>
      <c r="M277" s="21">
        <f t="shared" si="15"/>
        <v>46112</v>
      </c>
      <c r="N277" s="26">
        <v>6.5260580991899184</v>
      </c>
    </row>
    <row r="278" spans="2:14" x14ac:dyDescent="0.3">
      <c r="B278" s="7">
        <v>46113</v>
      </c>
      <c r="C278" s="18">
        <v>1133.8</v>
      </c>
      <c r="D278" s="19">
        <v>1125</v>
      </c>
      <c r="E278" s="19">
        <v>1134.7</v>
      </c>
      <c r="F278" s="19">
        <v>1141.0999999999999</v>
      </c>
      <c r="G278" s="19">
        <v>1115.5</v>
      </c>
      <c r="H278" s="19">
        <v>1154.3</v>
      </c>
      <c r="I278" s="19">
        <v>1159.9000000000001</v>
      </c>
      <c r="J278" s="20">
        <v>1147.7</v>
      </c>
      <c r="K278" s="11">
        <f>SUM(C278:J278)</f>
        <v>9112.0000000000018</v>
      </c>
      <c r="M278" s="21">
        <f t="shared" si="15"/>
        <v>46113</v>
      </c>
      <c r="N278" s="26">
        <v>3.6448633049006207</v>
      </c>
    </row>
    <row r="279" spans="2:14" x14ac:dyDescent="0.3">
      <c r="B279" s="7">
        <f>B278+1</f>
        <v>46114</v>
      </c>
      <c r="C279" s="18">
        <v>1399.3</v>
      </c>
      <c r="D279" s="19">
        <v>1418.5</v>
      </c>
      <c r="E279" s="19">
        <v>1408.9</v>
      </c>
      <c r="F279" s="19">
        <v>1419.1</v>
      </c>
      <c r="G279" s="19">
        <v>1353.6</v>
      </c>
      <c r="H279" s="19">
        <v>1415.4</v>
      </c>
      <c r="I279" s="19">
        <v>1417.1</v>
      </c>
      <c r="J279" s="20">
        <v>1399.2</v>
      </c>
      <c r="K279" s="11">
        <f t="shared" ref="K279:K307" si="16">SUM(C279:J279)</f>
        <v>11231.100000000002</v>
      </c>
      <c r="M279" s="21">
        <f t="shared" si="15"/>
        <v>46114</v>
      </c>
      <c r="N279" s="26">
        <v>4.9237098511950999</v>
      </c>
    </row>
    <row r="280" spans="2:14" x14ac:dyDescent="0.3">
      <c r="B280" s="7">
        <f t="shared" ref="B280:B307" si="17">B279+1</f>
        <v>46115</v>
      </c>
      <c r="C280" s="18">
        <v>1235.2</v>
      </c>
      <c r="D280" s="19">
        <v>1246.7</v>
      </c>
      <c r="E280" s="19">
        <v>1243.4000000000001</v>
      </c>
      <c r="F280" s="19">
        <v>1243.4000000000001</v>
      </c>
      <c r="G280" s="19">
        <v>1238.3</v>
      </c>
      <c r="H280" s="19">
        <v>1247.2</v>
      </c>
      <c r="I280" s="19">
        <v>1245.8</v>
      </c>
      <c r="J280" s="20">
        <v>1226.8</v>
      </c>
      <c r="K280" s="11">
        <f t="shared" si="16"/>
        <v>9926.7999999999993</v>
      </c>
      <c r="M280" s="21">
        <f t="shared" si="15"/>
        <v>46115</v>
      </c>
      <c r="N280" s="26">
        <v>4.0838164712878209</v>
      </c>
    </row>
    <row r="281" spans="2:14" x14ac:dyDescent="0.3">
      <c r="B281" s="7">
        <f t="shared" si="17"/>
        <v>46116</v>
      </c>
      <c r="C281" s="18">
        <v>1498</v>
      </c>
      <c r="D281" s="19">
        <v>1505.4</v>
      </c>
      <c r="E281" s="19">
        <v>1538.1</v>
      </c>
      <c r="F281" s="19">
        <v>1552.1</v>
      </c>
      <c r="G281" s="19">
        <v>1558</v>
      </c>
      <c r="H281" s="19">
        <v>1578.8</v>
      </c>
      <c r="I281" s="19">
        <v>1581.6</v>
      </c>
      <c r="J281" s="20">
        <v>1557.5</v>
      </c>
      <c r="K281" s="11">
        <f t="shared" si="16"/>
        <v>12369.5</v>
      </c>
      <c r="M281" s="21">
        <f t="shared" si="15"/>
        <v>46116</v>
      </c>
      <c r="N281" s="26">
        <v>5.8675497817322473</v>
      </c>
    </row>
    <row r="282" spans="2:14" x14ac:dyDescent="0.3">
      <c r="B282" s="7">
        <f t="shared" si="17"/>
        <v>46117</v>
      </c>
      <c r="C282" s="18">
        <v>1563.1</v>
      </c>
      <c r="D282" s="19">
        <v>1570.8</v>
      </c>
      <c r="E282" s="19">
        <v>1626.2</v>
      </c>
      <c r="F282" s="19">
        <v>1622.4</v>
      </c>
      <c r="G282" s="19">
        <v>1591.8</v>
      </c>
      <c r="H282" s="19">
        <v>1627.9</v>
      </c>
      <c r="I282" s="19">
        <v>1643.4</v>
      </c>
      <c r="J282" s="20">
        <v>1615.2</v>
      </c>
      <c r="K282" s="11">
        <f t="shared" si="16"/>
        <v>12860.800000000001</v>
      </c>
      <c r="M282" s="21">
        <f t="shared" si="15"/>
        <v>46117</v>
      </c>
      <c r="N282" s="26">
        <v>6.2647647087375233</v>
      </c>
    </row>
    <row r="283" spans="2:14" x14ac:dyDescent="0.3">
      <c r="B283" s="7">
        <f t="shared" si="17"/>
        <v>46118</v>
      </c>
      <c r="C283" s="18">
        <v>1354.4</v>
      </c>
      <c r="D283" s="19">
        <v>1361.2</v>
      </c>
      <c r="E283" s="19">
        <v>1369.1</v>
      </c>
      <c r="F283" s="19">
        <v>1371.9</v>
      </c>
      <c r="G283" s="19">
        <v>1369</v>
      </c>
      <c r="H283" s="19">
        <v>1385.2</v>
      </c>
      <c r="I283" s="19">
        <v>1383.6</v>
      </c>
      <c r="J283" s="20">
        <v>1361.8</v>
      </c>
      <c r="K283" s="11">
        <f t="shared" si="16"/>
        <v>10956.2</v>
      </c>
      <c r="M283" s="21">
        <f t="shared" si="15"/>
        <v>46118</v>
      </c>
      <c r="N283" s="26">
        <v>5.0786089528606473</v>
      </c>
    </row>
    <row r="284" spans="2:14" x14ac:dyDescent="0.3">
      <c r="B284" s="7">
        <f t="shared" si="17"/>
        <v>46119</v>
      </c>
      <c r="C284" s="18">
        <v>1426</v>
      </c>
      <c r="D284" s="19">
        <v>1441.2</v>
      </c>
      <c r="E284" s="19">
        <v>1410.5</v>
      </c>
      <c r="F284" s="19">
        <v>1434.2</v>
      </c>
      <c r="G284" s="19">
        <v>1435.1</v>
      </c>
      <c r="H284" s="19">
        <v>1458.7</v>
      </c>
      <c r="I284" s="19">
        <v>1467.2</v>
      </c>
      <c r="J284" s="20">
        <v>1450.6</v>
      </c>
      <c r="K284" s="11">
        <f t="shared" si="16"/>
        <v>11523.500000000002</v>
      </c>
      <c r="M284" s="21">
        <f t="shared" si="15"/>
        <v>46119</v>
      </c>
      <c r="N284" s="26">
        <v>5.3324322565197839</v>
      </c>
    </row>
    <row r="285" spans="2:14" x14ac:dyDescent="0.3">
      <c r="B285" s="7">
        <f t="shared" si="17"/>
        <v>46120</v>
      </c>
      <c r="C285" s="18">
        <v>1340.9</v>
      </c>
      <c r="D285" s="19">
        <v>1343.3</v>
      </c>
      <c r="E285" s="19">
        <v>1298.0999999999999</v>
      </c>
      <c r="F285" s="19">
        <v>1308</v>
      </c>
      <c r="G285" s="19">
        <v>1268.0999999999999</v>
      </c>
      <c r="H285" s="19">
        <v>1304.3</v>
      </c>
      <c r="I285" s="19">
        <v>1306.4000000000001</v>
      </c>
      <c r="J285" s="20">
        <v>1279.7</v>
      </c>
      <c r="K285" s="11">
        <f t="shared" si="16"/>
        <v>10448.800000000001</v>
      </c>
      <c r="M285" s="21">
        <f t="shared" si="15"/>
        <v>46120</v>
      </c>
      <c r="N285" s="26">
        <v>4.6971320577363116</v>
      </c>
    </row>
    <row r="286" spans="2:14" x14ac:dyDescent="0.3">
      <c r="B286" s="7">
        <f t="shared" si="17"/>
        <v>46121</v>
      </c>
      <c r="C286" s="18">
        <v>1613.7</v>
      </c>
      <c r="D286" s="19">
        <v>1621.1</v>
      </c>
      <c r="E286" s="19">
        <v>1586.2</v>
      </c>
      <c r="F286" s="19">
        <v>1598.1</v>
      </c>
      <c r="G286" s="19">
        <v>1577.3</v>
      </c>
      <c r="H286" s="19">
        <v>1591.3</v>
      </c>
      <c r="I286" s="19">
        <v>1598.6</v>
      </c>
      <c r="J286" s="20">
        <v>1575.8</v>
      </c>
      <c r="K286" s="11">
        <f t="shared" si="16"/>
        <v>12762.1</v>
      </c>
      <c r="M286" s="21">
        <f t="shared" si="15"/>
        <v>46121</v>
      </c>
      <c r="N286" s="26">
        <v>5.7998806138032348</v>
      </c>
    </row>
    <row r="287" spans="2:14" x14ac:dyDescent="0.3">
      <c r="B287" s="7">
        <f t="shared" si="17"/>
        <v>46122</v>
      </c>
      <c r="C287" s="18">
        <v>1542.4</v>
      </c>
      <c r="D287" s="19">
        <v>1547.3</v>
      </c>
      <c r="E287" s="19">
        <v>1518.8</v>
      </c>
      <c r="F287" s="19">
        <v>1539</v>
      </c>
      <c r="G287" s="19">
        <v>1530.6</v>
      </c>
      <c r="H287" s="19">
        <v>1557.2</v>
      </c>
      <c r="I287" s="19">
        <v>1570</v>
      </c>
      <c r="J287" s="20">
        <v>1548.3</v>
      </c>
      <c r="K287" s="11">
        <f t="shared" si="16"/>
        <v>12353.6</v>
      </c>
      <c r="M287" s="21">
        <f t="shared" si="15"/>
        <v>46122</v>
      </c>
      <c r="N287" s="26">
        <v>5.3265583831999992</v>
      </c>
    </row>
    <row r="288" spans="2:14" x14ac:dyDescent="0.3">
      <c r="B288" s="7">
        <f t="shared" si="17"/>
        <v>46123</v>
      </c>
      <c r="C288" s="18">
        <v>2008.2</v>
      </c>
      <c r="D288" s="19">
        <v>2018</v>
      </c>
      <c r="E288" s="19">
        <v>2043.1</v>
      </c>
      <c r="F288" s="19">
        <v>2047.3</v>
      </c>
      <c r="G288" s="19">
        <v>1993.7</v>
      </c>
      <c r="H288" s="19">
        <v>2028.4</v>
      </c>
      <c r="I288" s="19">
        <v>2033.3</v>
      </c>
      <c r="J288" s="20">
        <v>2002.6</v>
      </c>
      <c r="K288" s="11">
        <f t="shared" si="16"/>
        <v>16174.599999999999</v>
      </c>
      <c r="M288" s="21">
        <f t="shared" si="15"/>
        <v>46123</v>
      </c>
      <c r="N288" s="26">
        <v>7.755072155875455</v>
      </c>
    </row>
    <row r="289" spans="2:14" x14ac:dyDescent="0.3">
      <c r="B289" s="7">
        <f t="shared" si="17"/>
        <v>46124</v>
      </c>
      <c r="C289" s="18">
        <v>1693.2</v>
      </c>
      <c r="D289" s="19">
        <v>1703.6</v>
      </c>
      <c r="E289" s="19">
        <v>1689.5</v>
      </c>
      <c r="F289" s="19">
        <v>1699.3</v>
      </c>
      <c r="G289" s="19">
        <v>1680.9</v>
      </c>
      <c r="H289" s="19">
        <v>1705.8</v>
      </c>
      <c r="I289" s="19">
        <v>1717.9</v>
      </c>
      <c r="J289" s="20">
        <v>1688.1</v>
      </c>
      <c r="K289" s="11">
        <f t="shared" si="16"/>
        <v>13578.3</v>
      </c>
      <c r="M289" s="21">
        <f t="shared" si="15"/>
        <v>46124</v>
      </c>
      <c r="N289" s="26">
        <v>6.2730727351071831</v>
      </c>
    </row>
    <row r="290" spans="2:14" x14ac:dyDescent="0.3">
      <c r="B290" s="7">
        <f t="shared" si="17"/>
        <v>46125</v>
      </c>
      <c r="C290" s="18">
        <v>1380.9</v>
      </c>
      <c r="D290" s="19">
        <v>1404.1</v>
      </c>
      <c r="E290" s="19">
        <v>1393.3</v>
      </c>
      <c r="F290" s="19">
        <v>1396.8</v>
      </c>
      <c r="G290" s="19">
        <v>1392.8</v>
      </c>
      <c r="H290" s="19">
        <v>1417</v>
      </c>
      <c r="I290" s="19">
        <v>1428.9</v>
      </c>
      <c r="J290" s="20">
        <v>1414.7</v>
      </c>
      <c r="K290" s="11">
        <f t="shared" si="16"/>
        <v>11228.500000000002</v>
      </c>
      <c r="M290" s="21">
        <f t="shared" si="15"/>
        <v>46125</v>
      </c>
      <c r="N290" s="26">
        <v>5.0826818621371173</v>
      </c>
    </row>
    <row r="291" spans="2:14" x14ac:dyDescent="0.3">
      <c r="B291" s="7">
        <f t="shared" si="17"/>
        <v>46126</v>
      </c>
      <c r="C291" s="18">
        <v>1807.7</v>
      </c>
      <c r="D291" s="19">
        <v>1789.5</v>
      </c>
      <c r="E291" s="19">
        <v>1786.5</v>
      </c>
      <c r="F291" s="19">
        <v>1788.2</v>
      </c>
      <c r="G291" s="19">
        <v>1780.4</v>
      </c>
      <c r="H291" s="19">
        <v>1798.3</v>
      </c>
      <c r="I291" s="19">
        <v>1803.4</v>
      </c>
      <c r="J291" s="20">
        <v>1781</v>
      </c>
      <c r="K291" s="11">
        <f t="shared" si="16"/>
        <v>14334.999999999998</v>
      </c>
      <c r="M291" s="21">
        <f t="shared" si="15"/>
        <v>46126</v>
      </c>
      <c r="N291" s="26">
        <v>6.6256841209999999</v>
      </c>
    </row>
    <row r="292" spans="2:14" x14ac:dyDescent="0.3">
      <c r="B292" s="7">
        <f t="shared" si="17"/>
        <v>46127</v>
      </c>
      <c r="C292" s="18">
        <v>1353.6</v>
      </c>
      <c r="D292" s="19">
        <v>1363.5</v>
      </c>
      <c r="E292" s="19">
        <v>1327</v>
      </c>
      <c r="F292" s="19">
        <v>1344.5</v>
      </c>
      <c r="G292" s="19">
        <v>1336.3</v>
      </c>
      <c r="H292" s="19">
        <v>1365.7</v>
      </c>
      <c r="I292" s="19">
        <v>1374.4</v>
      </c>
      <c r="J292" s="20">
        <v>1351.8</v>
      </c>
      <c r="K292" s="11">
        <f t="shared" si="16"/>
        <v>10816.8</v>
      </c>
      <c r="M292" s="21">
        <f t="shared" si="15"/>
        <v>46127</v>
      </c>
      <c r="N292" s="26">
        <v>4.6173861980289166</v>
      </c>
    </row>
    <row r="293" spans="2:14" x14ac:dyDescent="0.3">
      <c r="B293" s="7">
        <f t="shared" si="17"/>
        <v>46128</v>
      </c>
      <c r="C293" s="18">
        <v>1081.3</v>
      </c>
      <c r="D293" s="19">
        <v>1083.8</v>
      </c>
      <c r="E293" s="19">
        <v>1064.5</v>
      </c>
      <c r="F293" s="19">
        <v>1080.5999999999999</v>
      </c>
      <c r="G293" s="19">
        <v>1082.5999999999999</v>
      </c>
      <c r="H293" s="19">
        <v>1103.9000000000001</v>
      </c>
      <c r="I293" s="19">
        <v>1110.2</v>
      </c>
      <c r="J293" s="20">
        <v>1089.5999999999999</v>
      </c>
      <c r="K293" s="11">
        <f t="shared" si="16"/>
        <v>8696.4999999999982</v>
      </c>
      <c r="M293" s="21">
        <f t="shared" si="15"/>
        <v>46128</v>
      </c>
      <c r="N293" s="26">
        <v>3.7574251117189355</v>
      </c>
    </row>
    <row r="294" spans="2:14" x14ac:dyDescent="0.3">
      <c r="B294" s="7">
        <f t="shared" si="17"/>
        <v>46129</v>
      </c>
      <c r="C294" s="18">
        <v>1415.1</v>
      </c>
      <c r="D294" s="19">
        <v>1426.8</v>
      </c>
      <c r="E294" s="19">
        <v>1414.2</v>
      </c>
      <c r="F294" s="19">
        <v>1410.8</v>
      </c>
      <c r="G294" s="19">
        <v>1393.7</v>
      </c>
      <c r="H294" s="19">
        <v>1410.1</v>
      </c>
      <c r="I294" s="19">
        <v>1419</v>
      </c>
      <c r="J294" s="20">
        <v>1391.8</v>
      </c>
      <c r="K294" s="11">
        <f t="shared" si="16"/>
        <v>11281.499999999998</v>
      </c>
      <c r="M294" s="21">
        <f t="shared" si="15"/>
        <v>46129</v>
      </c>
      <c r="N294" s="26">
        <v>4.7495497287732196</v>
      </c>
    </row>
    <row r="295" spans="2:14" x14ac:dyDescent="0.3">
      <c r="B295" s="7">
        <f t="shared" si="17"/>
        <v>46130</v>
      </c>
      <c r="C295" s="18">
        <v>1788.9</v>
      </c>
      <c r="D295" s="19">
        <v>1803.4</v>
      </c>
      <c r="E295" s="19">
        <v>1863.3</v>
      </c>
      <c r="F295" s="19">
        <v>1891.7</v>
      </c>
      <c r="G295" s="19">
        <v>1880.2</v>
      </c>
      <c r="H295" s="19">
        <v>1906.4</v>
      </c>
      <c r="I295" s="19">
        <v>1913.5</v>
      </c>
      <c r="J295" s="20">
        <v>1880.3</v>
      </c>
      <c r="K295" s="11">
        <f t="shared" si="16"/>
        <v>14927.699999999999</v>
      </c>
      <c r="M295" s="21">
        <f t="shared" si="15"/>
        <v>46130</v>
      </c>
      <c r="N295" s="26">
        <v>6.6893338901260782</v>
      </c>
    </row>
    <row r="296" spans="2:14" x14ac:dyDescent="0.3">
      <c r="B296" s="7">
        <f t="shared" si="17"/>
        <v>46131</v>
      </c>
      <c r="C296" s="18">
        <v>1917.8</v>
      </c>
      <c r="D296" s="19">
        <v>1918.6</v>
      </c>
      <c r="E296" s="19">
        <v>1981.5</v>
      </c>
      <c r="F296" s="19">
        <v>1998.9</v>
      </c>
      <c r="G296" s="19">
        <v>1977.4</v>
      </c>
      <c r="H296" s="19">
        <v>2010.4</v>
      </c>
      <c r="I296" s="19">
        <v>2023.5</v>
      </c>
      <c r="J296" s="20">
        <v>1994.9</v>
      </c>
      <c r="K296" s="11">
        <f t="shared" si="16"/>
        <v>15822.999999999998</v>
      </c>
      <c r="M296" s="21">
        <f t="shared" si="15"/>
        <v>46131</v>
      </c>
      <c r="N296" s="26">
        <v>7.1740275924205754</v>
      </c>
    </row>
    <row r="297" spans="2:14" x14ac:dyDescent="0.3">
      <c r="B297" s="7">
        <f t="shared" si="17"/>
        <v>46132</v>
      </c>
      <c r="C297" s="18">
        <v>1552.2</v>
      </c>
      <c r="D297" s="19">
        <v>1560.7</v>
      </c>
      <c r="E297" s="19">
        <v>1520.5</v>
      </c>
      <c r="F297" s="19">
        <v>1528.7</v>
      </c>
      <c r="G297" s="19">
        <v>1509.2</v>
      </c>
      <c r="H297" s="19">
        <v>1522.5</v>
      </c>
      <c r="I297" s="19">
        <v>1523.9</v>
      </c>
      <c r="J297" s="20">
        <v>1494.7</v>
      </c>
      <c r="K297" s="11">
        <f t="shared" si="16"/>
        <v>12212.4</v>
      </c>
      <c r="M297" s="21">
        <f t="shared" si="15"/>
        <v>46132</v>
      </c>
      <c r="N297" s="26">
        <v>5.0649825225071314</v>
      </c>
    </row>
    <row r="298" spans="2:14" x14ac:dyDescent="0.3">
      <c r="B298" s="7">
        <f t="shared" si="17"/>
        <v>46133</v>
      </c>
      <c r="C298" s="18">
        <v>1499.4</v>
      </c>
      <c r="D298" s="19">
        <v>1514.2</v>
      </c>
      <c r="E298" s="19">
        <v>1547.5</v>
      </c>
      <c r="F298" s="19">
        <v>1564.2</v>
      </c>
      <c r="G298" s="19">
        <v>1552.8</v>
      </c>
      <c r="H298" s="19">
        <v>1572.3</v>
      </c>
      <c r="I298" s="19">
        <v>1581.4</v>
      </c>
      <c r="J298" s="20">
        <v>1550.7</v>
      </c>
      <c r="K298" s="11">
        <f t="shared" si="16"/>
        <v>12382.5</v>
      </c>
      <c r="M298" s="21">
        <f t="shared" si="15"/>
        <v>46133</v>
      </c>
      <c r="N298" s="26">
        <v>5.3369417961041092</v>
      </c>
    </row>
    <row r="299" spans="2:14" x14ac:dyDescent="0.3">
      <c r="B299" s="7">
        <f t="shared" si="17"/>
        <v>46134</v>
      </c>
      <c r="C299" s="18">
        <v>1645.5</v>
      </c>
      <c r="D299" s="19">
        <v>1650.9</v>
      </c>
      <c r="E299" s="19">
        <v>1651.8</v>
      </c>
      <c r="F299" s="19">
        <v>1667.6</v>
      </c>
      <c r="G299" s="19">
        <v>1678.3</v>
      </c>
      <c r="H299" s="19">
        <v>1706.4</v>
      </c>
      <c r="I299" s="19">
        <v>1712.2</v>
      </c>
      <c r="J299" s="20">
        <v>1683.5</v>
      </c>
      <c r="K299" s="11">
        <f t="shared" si="16"/>
        <v>13396.199999999999</v>
      </c>
      <c r="M299" s="21">
        <f t="shared" si="15"/>
        <v>46134</v>
      </c>
      <c r="N299" s="26">
        <v>5.9820150390267317</v>
      </c>
    </row>
    <row r="300" spans="2:14" x14ac:dyDescent="0.3">
      <c r="B300" s="7">
        <f t="shared" si="17"/>
        <v>46135</v>
      </c>
      <c r="C300" s="18">
        <v>2065.8000000000002</v>
      </c>
      <c r="D300" s="19">
        <v>2072</v>
      </c>
      <c r="E300" s="19">
        <v>2036.1</v>
      </c>
      <c r="F300" s="19">
        <v>2045.9</v>
      </c>
      <c r="G300" s="19">
        <v>2022.7</v>
      </c>
      <c r="H300" s="19">
        <v>2048.1999999999998</v>
      </c>
      <c r="I300" s="19">
        <v>2049.1</v>
      </c>
      <c r="J300" s="20">
        <v>2007.5</v>
      </c>
      <c r="K300" s="11">
        <f t="shared" si="16"/>
        <v>16347.300000000001</v>
      </c>
      <c r="M300" s="21">
        <f t="shared" si="15"/>
        <v>46135</v>
      </c>
      <c r="N300" s="26">
        <v>7.1696738909824411</v>
      </c>
    </row>
    <row r="301" spans="2:14" x14ac:dyDescent="0.3">
      <c r="B301" s="7">
        <f t="shared" si="17"/>
        <v>46136</v>
      </c>
      <c r="C301" s="18">
        <v>2155.4</v>
      </c>
      <c r="D301" s="19">
        <v>2169</v>
      </c>
      <c r="E301" s="19">
        <v>2125.4</v>
      </c>
      <c r="F301" s="19">
        <v>2138.6999999999998</v>
      </c>
      <c r="G301" s="19">
        <v>2113.3000000000002</v>
      </c>
      <c r="H301" s="19">
        <v>2133.8000000000002</v>
      </c>
      <c r="I301" s="19">
        <v>2131.5</v>
      </c>
      <c r="J301" s="20">
        <v>2088</v>
      </c>
      <c r="K301" s="11">
        <f t="shared" si="16"/>
        <v>17055.099999999999</v>
      </c>
      <c r="M301" s="21">
        <f t="shared" si="15"/>
        <v>46136</v>
      </c>
      <c r="N301" s="26">
        <v>7.6854815318145251</v>
      </c>
    </row>
    <row r="302" spans="2:14" x14ac:dyDescent="0.3">
      <c r="B302" s="7">
        <f t="shared" si="17"/>
        <v>46137</v>
      </c>
      <c r="C302" s="18">
        <v>1802.6</v>
      </c>
      <c r="D302" s="19">
        <v>1796.7</v>
      </c>
      <c r="E302" s="19">
        <v>1787</v>
      </c>
      <c r="F302" s="19">
        <v>1791.2</v>
      </c>
      <c r="G302" s="19">
        <v>1765.8</v>
      </c>
      <c r="H302" s="19">
        <v>1791.8</v>
      </c>
      <c r="I302" s="19">
        <v>1795.3</v>
      </c>
      <c r="J302" s="20">
        <v>1753.7</v>
      </c>
      <c r="K302" s="11">
        <f t="shared" si="16"/>
        <v>14284.099999999999</v>
      </c>
      <c r="M302" s="21">
        <f t="shared" si="15"/>
        <v>46137</v>
      </c>
      <c r="N302" s="26">
        <v>6.4653434721579099</v>
      </c>
    </row>
    <row r="303" spans="2:14" x14ac:dyDescent="0.3">
      <c r="B303" s="7">
        <f t="shared" si="17"/>
        <v>46138</v>
      </c>
      <c r="C303" s="18">
        <v>1661.9</v>
      </c>
      <c r="D303" s="19">
        <v>1694.5</v>
      </c>
      <c r="E303" s="19">
        <v>1770.3</v>
      </c>
      <c r="F303" s="19">
        <v>1789.6</v>
      </c>
      <c r="G303" s="19">
        <v>1788.1</v>
      </c>
      <c r="H303" s="19">
        <v>1818.7</v>
      </c>
      <c r="I303" s="19">
        <v>1816.1</v>
      </c>
      <c r="J303" s="20">
        <v>1779.9</v>
      </c>
      <c r="K303" s="11">
        <f t="shared" si="16"/>
        <v>14119.1</v>
      </c>
      <c r="M303" s="21">
        <f t="shared" si="15"/>
        <v>46138</v>
      </c>
      <c r="N303" s="26">
        <v>6.1319139993637739</v>
      </c>
    </row>
    <row r="304" spans="2:14" x14ac:dyDescent="0.3">
      <c r="B304" s="7">
        <f t="shared" si="17"/>
        <v>46139</v>
      </c>
      <c r="C304" s="18">
        <v>1373.5</v>
      </c>
      <c r="D304" s="19">
        <v>1390.2</v>
      </c>
      <c r="E304" s="19">
        <v>1362.7</v>
      </c>
      <c r="F304" s="19">
        <v>1375.3</v>
      </c>
      <c r="G304" s="19">
        <v>1368.7</v>
      </c>
      <c r="H304" s="19">
        <v>1387.1</v>
      </c>
      <c r="I304" s="19">
        <v>1388.9</v>
      </c>
      <c r="J304" s="20">
        <v>1367.1</v>
      </c>
      <c r="K304" s="11">
        <f t="shared" si="16"/>
        <v>11013.5</v>
      </c>
      <c r="M304" s="21">
        <f t="shared" si="15"/>
        <v>46139</v>
      </c>
      <c r="N304" s="26">
        <v>4.8567013080807664</v>
      </c>
    </row>
    <row r="305" spans="2:14" x14ac:dyDescent="0.3">
      <c r="B305" s="7">
        <f t="shared" si="17"/>
        <v>46140</v>
      </c>
      <c r="C305" s="18">
        <v>1375.5</v>
      </c>
      <c r="D305" s="19">
        <v>1363.2</v>
      </c>
      <c r="E305" s="19">
        <v>1367.3</v>
      </c>
      <c r="F305" s="19">
        <v>1395</v>
      </c>
      <c r="G305" s="19">
        <v>1355.2</v>
      </c>
      <c r="H305" s="19">
        <v>1404.8</v>
      </c>
      <c r="I305" s="19">
        <v>1396.1</v>
      </c>
      <c r="J305" s="20">
        <v>1369.9</v>
      </c>
      <c r="K305" s="11">
        <f t="shared" si="16"/>
        <v>11027</v>
      </c>
      <c r="M305" s="21">
        <f t="shared" si="15"/>
        <v>46140</v>
      </c>
      <c r="N305" s="26">
        <v>5.3210283851762572</v>
      </c>
    </row>
    <row r="306" spans="2:14" x14ac:dyDescent="0.3">
      <c r="B306" s="7">
        <f t="shared" si="17"/>
        <v>46141</v>
      </c>
      <c r="C306" s="18">
        <v>2165.8000000000002</v>
      </c>
      <c r="D306" s="19">
        <v>2242.8000000000002</v>
      </c>
      <c r="E306" s="19">
        <v>2213.1999999999998</v>
      </c>
      <c r="F306" s="19">
        <v>2230.9</v>
      </c>
      <c r="G306" s="19">
        <v>2221.9</v>
      </c>
      <c r="H306" s="19">
        <v>2249.4</v>
      </c>
      <c r="I306" s="19">
        <v>2253.4</v>
      </c>
      <c r="J306" s="20">
        <v>2201.3000000000002</v>
      </c>
      <c r="K306" s="11">
        <f t="shared" si="16"/>
        <v>17778.7</v>
      </c>
      <c r="M306" s="21">
        <f t="shared" si="15"/>
        <v>46141</v>
      </c>
      <c r="N306" s="26">
        <v>7.5324792829056531</v>
      </c>
    </row>
    <row r="307" spans="2:14" x14ac:dyDescent="0.3">
      <c r="B307" s="7">
        <f t="shared" si="17"/>
        <v>46142</v>
      </c>
      <c r="C307" s="18">
        <v>2117.6999999999998</v>
      </c>
      <c r="D307" s="19">
        <v>2033.1</v>
      </c>
      <c r="E307" s="19">
        <v>2207.1999999999998</v>
      </c>
      <c r="F307" s="19">
        <v>2213.1</v>
      </c>
      <c r="G307" s="19">
        <v>2195.1999999999998</v>
      </c>
      <c r="H307" s="19">
        <v>2226</v>
      </c>
      <c r="I307" s="19">
        <v>2224.8000000000002</v>
      </c>
      <c r="J307" s="20">
        <v>2172.8000000000002</v>
      </c>
      <c r="K307" s="11">
        <f t="shared" si="16"/>
        <v>17389.899999999998</v>
      </c>
      <c r="M307" s="21">
        <f t="shared" si="15"/>
        <v>46142</v>
      </c>
      <c r="N307" s="26">
        <v>6.9271482715755663</v>
      </c>
    </row>
    <row r="308" spans="2:14" x14ac:dyDescent="0.3">
      <c r="B308" s="7">
        <v>46143</v>
      </c>
      <c r="C308" s="18">
        <v>1922</v>
      </c>
      <c r="D308" s="19">
        <v>1849.9</v>
      </c>
      <c r="E308" s="19">
        <v>1874.8</v>
      </c>
      <c r="F308" s="19">
        <v>1900.2</v>
      </c>
      <c r="G308" s="19">
        <v>1679.7</v>
      </c>
      <c r="H308" s="19">
        <v>1916.8</v>
      </c>
      <c r="I308" s="19">
        <v>1920.5</v>
      </c>
      <c r="J308" s="20">
        <v>1871.3</v>
      </c>
      <c r="K308" s="11">
        <f>SUM(C308:J308)</f>
        <v>14935.199999999999</v>
      </c>
      <c r="M308" s="21">
        <f t="shared" si="15"/>
        <v>46143</v>
      </c>
      <c r="N308" s="26">
        <v>6.6816310897370137</v>
      </c>
    </row>
    <row r="309" spans="2:14" x14ac:dyDescent="0.3">
      <c r="B309" s="7">
        <f>B308+1</f>
        <v>46144</v>
      </c>
      <c r="C309" s="18">
        <v>1590.3</v>
      </c>
      <c r="D309" s="19">
        <v>1559.2</v>
      </c>
      <c r="E309" s="19">
        <v>1584.4</v>
      </c>
      <c r="F309" s="19">
        <v>1590.9</v>
      </c>
      <c r="G309" s="19">
        <v>1568.2</v>
      </c>
      <c r="H309" s="19">
        <v>1576.3</v>
      </c>
      <c r="I309" s="19">
        <v>1570.6</v>
      </c>
      <c r="J309" s="20">
        <v>1547.6</v>
      </c>
      <c r="K309" s="11">
        <f t="shared" ref="K309:K338" si="18">SUM(C309:J309)</f>
        <v>12587.5</v>
      </c>
      <c r="M309" s="21">
        <f t="shared" si="15"/>
        <v>46144</v>
      </c>
      <c r="N309" s="26">
        <v>5.8810883844027551</v>
      </c>
    </row>
    <row r="310" spans="2:14" x14ac:dyDescent="0.3">
      <c r="B310" s="7">
        <f t="shared" ref="B310:B338" si="19">B309+1</f>
        <v>46145</v>
      </c>
      <c r="C310" s="18">
        <v>1735.2</v>
      </c>
      <c r="D310" s="19">
        <v>1727.7</v>
      </c>
      <c r="E310" s="19">
        <v>1776.8</v>
      </c>
      <c r="F310" s="19">
        <v>1800.9</v>
      </c>
      <c r="G310" s="19">
        <v>1801.2</v>
      </c>
      <c r="H310" s="19">
        <v>1821.6</v>
      </c>
      <c r="I310" s="19">
        <v>1823.4</v>
      </c>
      <c r="J310" s="20">
        <v>1793.7</v>
      </c>
      <c r="K310" s="11">
        <f t="shared" si="18"/>
        <v>14280.500000000002</v>
      </c>
      <c r="M310" s="21">
        <f t="shared" si="15"/>
        <v>46145</v>
      </c>
      <c r="N310" s="26">
        <v>6.3265190511402656</v>
      </c>
    </row>
    <row r="311" spans="2:14" x14ac:dyDescent="0.3">
      <c r="B311" s="7">
        <f t="shared" si="19"/>
        <v>46146</v>
      </c>
      <c r="C311" s="18">
        <v>1329.1</v>
      </c>
      <c r="D311" s="19">
        <v>1260.7</v>
      </c>
      <c r="E311" s="19">
        <v>1260.0999999999999</v>
      </c>
      <c r="F311" s="19">
        <v>1294.4000000000001</v>
      </c>
      <c r="G311" s="19">
        <v>1291.5999999999999</v>
      </c>
      <c r="H311" s="19">
        <v>1298.5</v>
      </c>
      <c r="I311" s="19">
        <v>1296</v>
      </c>
      <c r="J311" s="20">
        <v>1267.4000000000001</v>
      </c>
      <c r="K311" s="11">
        <f t="shared" si="18"/>
        <v>10297.799999999999</v>
      </c>
      <c r="M311" s="21">
        <f t="shared" si="15"/>
        <v>46146</v>
      </c>
      <c r="N311" s="26">
        <v>4.6699369370111512</v>
      </c>
    </row>
    <row r="312" spans="2:14" x14ac:dyDescent="0.3">
      <c r="B312" s="7">
        <f t="shared" si="19"/>
        <v>46147</v>
      </c>
      <c r="C312" s="18">
        <v>2168.9</v>
      </c>
      <c r="D312" s="19">
        <v>2037.7</v>
      </c>
      <c r="E312" s="19">
        <v>1884.3</v>
      </c>
      <c r="F312" s="19">
        <v>2061</v>
      </c>
      <c r="G312" s="19">
        <v>2110.6</v>
      </c>
      <c r="H312" s="19">
        <v>2128.3000000000002</v>
      </c>
      <c r="I312" s="19">
        <v>2125.9</v>
      </c>
      <c r="J312" s="20">
        <v>2074.6999999999998</v>
      </c>
      <c r="K312" s="11">
        <f t="shared" si="18"/>
        <v>16591.399999999998</v>
      </c>
      <c r="M312" s="21">
        <f t="shared" si="15"/>
        <v>46147</v>
      </c>
      <c r="N312" s="26">
        <v>7.2969169596830961</v>
      </c>
    </row>
    <row r="313" spans="2:14" x14ac:dyDescent="0.3">
      <c r="B313" s="7">
        <f t="shared" si="19"/>
        <v>46148</v>
      </c>
      <c r="C313" s="18">
        <v>2048.1999999999998</v>
      </c>
      <c r="D313" s="19">
        <v>2017</v>
      </c>
      <c r="E313" s="19">
        <v>1996.9</v>
      </c>
      <c r="F313" s="19">
        <v>1918.8</v>
      </c>
      <c r="G313" s="19">
        <v>1814.7</v>
      </c>
      <c r="H313" s="19">
        <v>1928.9</v>
      </c>
      <c r="I313" s="19">
        <v>1925.2</v>
      </c>
      <c r="J313" s="20">
        <v>1895.4</v>
      </c>
      <c r="K313" s="11">
        <f t="shared" si="18"/>
        <v>15545.1</v>
      </c>
      <c r="M313" s="21">
        <f t="shared" si="15"/>
        <v>46148</v>
      </c>
      <c r="N313" s="26">
        <v>7.0875915214349474</v>
      </c>
    </row>
    <row r="314" spans="2:14" x14ac:dyDescent="0.3">
      <c r="B314" s="7">
        <f t="shared" si="19"/>
        <v>46149</v>
      </c>
      <c r="C314" s="18">
        <v>1975</v>
      </c>
      <c r="D314" s="19">
        <v>1971.7</v>
      </c>
      <c r="E314" s="19">
        <v>1955</v>
      </c>
      <c r="F314" s="19">
        <v>1985.9</v>
      </c>
      <c r="G314" s="19">
        <v>1980.2</v>
      </c>
      <c r="H314" s="19">
        <v>1697.5</v>
      </c>
      <c r="I314" s="19">
        <v>1689.3</v>
      </c>
      <c r="J314" s="20">
        <v>1584.5</v>
      </c>
      <c r="K314" s="11">
        <f t="shared" si="18"/>
        <v>14839.1</v>
      </c>
      <c r="M314" s="21">
        <f t="shared" si="15"/>
        <v>46149</v>
      </c>
      <c r="N314" s="26">
        <v>6.6794096357294634</v>
      </c>
    </row>
    <row r="315" spans="2:14" x14ac:dyDescent="0.3">
      <c r="B315" s="7">
        <f t="shared" si="19"/>
        <v>46150</v>
      </c>
      <c r="C315" s="18">
        <v>1819.4</v>
      </c>
      <c r="D315" s="19">
        <v>1814.3</v>
      </c>
      <c r="E315" s="19">
        <v>1776.3</v>
      </c>
      <c r="F315" s="19">
        <v>1801.3</v>
      </c>
      <c r="G315" s="19">
        <v>1792.8</v>
      </c>
      <c r="H315" s="19">
        <v>1807.6</v>
      </c>
      <c r="I315" s="19">
        <v>1778.8</v>
      </c>
      <c r="J315" s="20">
        <v>1520</v>
      </c>
      <c r="K315" s="11">
        <f t="shared" si="18"/>
        <v>14110.5</v>
      </c>
      <c r="M315" s="21">
        <f t="shared" si="15"/>
        <v>46150</v>
      </c>
      <c r="N315" s="26">
        <v>6.206062274006503</v>
      </c>
    </row>
    <row r="316" spans="2:14" x14ac:dyDescent="0.3">
      <c r="B316" s="7">
        <f t="shared" si="19"/>
        <v>46151</v>
      </c>
      <c r="C316" s="18">
        <v>2068.6999999999998</v>
      </c>
      <c r="D316" s="19">
        <v>2066.3000000000002</v>
      </c>
      <c r="E316" s="19">
        <v>2100.6</v>
      </c>
      <c r="F316" s="19">
        <v>2128.5</v>
      </c>
      <c r="G316" s="19">
        <v>2122.6999999999998</v>
      </c>
      <c r="H316" s="19">
        <v>2137.3000000000002</v>
      </c>
      <c r="I316" s="19">
        <v>2163.3000000000002</v>
      </c>
      <c r="J316" s="20">
        <v>2132.8000000000002</v>
      </c>
      <c r="K316" s="11">
        <f t="shared" si="18"/>
        <v>16920.199999999997</v>
      </c>
      <c r="M316" s="21">
        <f t="shared" si="15"/>
        <v>46151</v>
      </c>
      <c r="N316" s="26">
        <v>7.0951001707116719</v>
      </c>
    </row>
    <row r="317" spans="2:14" x14ac:dyDescent="0.3">
      <c r="B317" s="7">
        <f t="shared" si="19"/>
        <v>46152</v>
      </c>
      <c r="C317" s="18">
        <v>1909.6</v>
      </c>
      <c r="D317" s="19">
        <v>1895.1</v>
      </c>
      <c r="E317" s="19">
        <v>1991.6</v>
      </c>
      <c r="F317" s="19">
        <v>2017.2</v>
      </c>
      <c r="G317" s="19">
        <v>2021.2</v>
      </c>
      <c r="H317" s="19">
        <v>2036.5</v>
      </c>
      <c r="I317" s="19">
        <v>2053.8000000000002</v>
      </c>
      <c r="J317" s="20">
        <v>2031.6</v>
      </c>
      <c r="K317" s="11">
        <f t="shared" si="18"/>
        <v>15956.6</v>
      </c>
      <c r="M317" s="21">
        <f t="shared" si="15"/>
        <v>46152</v>
      </c>
      <c r="N317" s="26">
        <v>7.0456226029079376</v>
      </c>
    </row>
    <row r="318" spans="2:14" x14ac:dyDescent="0.3">
      <c r="B318" s="7">
        <f t="shared" si="19"/>
        <v>46153</v>
      </c>
      <c r="C318" s="18">
        <v>1364.8</v>
      </c>
      <c r="D318" s="19">
        <v>1175.2</v>
      </c>
      <c r="E318" s="19">
        <v>1300.4000000000001</v>
      </c>
      <c r="F318" s="19">
        <v>1448.8</v>
      </c>
      <c r="G318" s="19">
        <v>1555.4</v>
      </c>
      <c r="H318" s="19">
        <v>1561.5</v>
      </c>
      <c r="I318" s="19">
        <v>1563.8</v>
      </c>
      <c r="J318" s="20">
        <v>1515</v>
      </c>
      <c r="K318" s="11">
        <f t="shared" si="18"/>
        <v>11484.9</v>
      </c>
      <c r="M318" s="21">
        <f t="shared" si="15"/>
        <v>46153</v>
      </c>
      <c r="N318" s="26">
        <v>4.8642386681831722</v>
      </c>
    </row>
    <row r="319" spans="2:14" x14ac:dyDescent="0.3">
      <c r="B319" s="7">
        <f t="shared" si="19"/>
        <v>46154</v>
      </c>
      <c r="C319" s="18">
        <v>1824.1</v>
      </c>
      <c r="D319" s="19">
        <v>1440.7</v>
      </c>
      <c r="E319" s="19">
        <v>1266.7</v>
      </c>
      <c r="F319" s="19">
        <v>1540.8</v>
      </c>
      <c r="G319" s="19">
        <v>1715.1</v>
      </c>
      <c r="H319" s="19">
        <v>1735.8</v>
      </c>
      <c r="I319" s="19">
        <v>1760.9</v>
      </c>
      <c r="J319" s="20">
        <v>1748.9</v>
      </c>
      <c r="K319" s="11">
        <f t="shared" si="18"/>
        <v>13032.999999999998</v>
      </c>
      <c r="M319" s="21">
        <f t="shared" si="15"/>
        <v>46154</v>
      </c>
      <c r="N319" s="26">
        <v>5.7309893917838703</v>
      </c>
    </row>
    <row r="320" spans="2:14" x14ac:dyDescent="0.3">
      <c r="B320" s="7">
        <f t="shared" si="19"/>
        <v>46155</v>
      </c>
      <c r="C320" s="18">
        <v>1239.7</v>
      </c>
      <c r="D320" s="19">
        <v>1221.5</v>
      </c>
      <c r="E320" s="19">
        <v>1125</v>
      </c>
      <c r="F320" s="19">
        <v>1101.7</v>
      </c>
      <c r="G320" s="19">
        <v>1069.9000000000001</v>
      </c>
      <c r="H320" s="19">
        <v>1207.8</v>
      </c>
      <c r="I320" s="19">
        <v>1228.2</v>
      </c>
      <c r="J320" s="20">
        <v>1226.9000000000001</v>
      </c>
      <c r="K320" s="11">
        <f t="shared" si="18"/>
        <v>9420.6999999999989</v>
      </c>
      <c r="M320" s="21">
        <f t="shared" si="15"/>
        <v>46155</v>
      </c>
      <c r="N320" s="26">
        <v>3.9571664601328433</v>
      </c>
    </row>
    <row r="321" spans="2:14" x14ac:dyDescent="0.3">
      <c r="B321" s="7">
        <f t="shared" si="19"/>
        <v>46156</v>
      </c>
      <c r="C321" s="18">
        <v>1433.2</v>
      </c>
      <c r="D321" s="19">
        <v>1442.7</v>
      </c>
      <c r="E321" s="19">
        <v>1428.4</v>
      </c>
      <c r="F321" s="19">
        <v>1440.6</v>
      </c>
      <c r="G321" s="19">
        <v>1337.8</v>
      </c>
      <c r="H321" s="19">
        <v>1314.7</v>
      </c>
      <c r="I321" s="19">
        <v>1328.4</v>
      </c>
      <c r="J321" s="20">
        <v>1377.8</v>
      </c>
      <c r="K321" s="11">
        <f t="shared" si="18"/>
        <v>11103.599999999999</v>
      </c>
      <c r="M321" s="21">
        <f t="shared" si="15"/>
        <v>46156</v>
      </c>
      <c r="N321" s="26">
        <v>4.413676403621829</v>
      </c>
    </row>
    <row r="322" spans="2:14" x14ac:dyDescent="0.3">
      <c r="B322" s="7">
        <f t="shared" si="19"/>
        <v>46157</v>
      </c>
      <c r="C322" s="18">
        <v>1752</v>
      </c>
      <c r="D322" s="19">
        <v>1747.3</v>
      </c>
      <c r="E322" s="19">
        <v>1721.6</v>
      </c>
      <c r="F322" s="19">
        <v>1745.6</v>
      </c>
      <c r="G322" s="19">
        <v>1740.7</v>
      </c>
      <c r="H322" s="19">
        <v>1737.7</v>
      </c>
      <c r="I322" s="19">
        <v>1684.1</v>
      </c>
      <c r="J322" s="20">
        <v>1669.1</v>
      </c>
      <c r="K322" s="11">
        <f t="shared" si="18"/>
        <v>13798.100000000002</v>
      </c>
      <c r="M322" s="21">
        <f t="shared" si="15"/>
        <v>46157</v>
      </c>
      <c r="N322" s="26">
        <v>5.5456693220936337</v>
      </c>
    </row>
    <row r="323" spans="2:14" x14ac:dyDescent="0.3">
      <c r="B323" s="7">
        <f t="shared" si="19"/>
        <v>46158</v>
      </c>
      <c r="C323" s="18">
        <v>1508.1</v>
      </c>
      <c r="D323" s="19">
        <v>1508</v>
      </c>
      <c r="E323" s="19">
        <v>1483.7</v>
      </c>
      <c r="F323" s="19">
        <v>1511.6</v>
      </c>
      <c r="G323" s="19">
        <v>1509</v>
      </c>
      <c r="H323" s="19">
        <v>1519.3</v>
      </c>
      <c r="I323" s="19">
        <v>1489.2</v>
      </c>
      <c r="J323" s="20">
        <v>1479.2</v>
      </c>
      <c r="K323" s="11">
        <f t="shared" si="18"/>
        <v>12008.1</v>
      </c>
      <c r="M323" s="21">
        <f t="shared" si="15"/>
        <v>46158</v>
      </c>
      <c r="N323" s="26">
        <v>4.828159737562137</v>
      </c>
    </row>
    <row r="324" spans="2:14" x14ac:dyDescent="0.3">
      <c r="B324" s="7">
        <f t="shared" si="19"/>
        <v>46159</v>
      </c>
      <c r="C324" s="18">
        <v>1550.3</v>
      </c>
      <c r="D324" s="19">
        <v>1548.3</v>
      </c>
      <c r="E324" s="19">
        <v>1562.1</v>
      </c>
      <c r="F324" s="19">
        <v>1565</v>
      </c>
      <c r="G324" s="19">
        <v>1562.7</v>
      </c>
      <c r="H324" s="19">
        <v>1563.8</v>
      </c>
      <c r="I324" s="19">
        <v>1528.1</v>
      </c>
      <c r="J324" s="20">
        <v>1518.4</v>
      </c>
      <c r="K324" s="11">
        <f t="shared" si="18"/>
        <v>12398.699999999999</v>
      </c>
      <c r="M324" s="21">
        <f t="shared" si="15"/>
        <v>46159</v>
      </c>
      <c r="N324" s="26">
        <v>5.2131362971688286</v>
      </c>
    </row>
    <row r="325" spans="2:14" x14ac:dyDescent="0.3">
      <c r="B325" s="7">
        <f t="shared" si="19"/>
        <v>46160</v>
      </c>
      <c r="C325" s="18">
        <v>1664.2</v>
      </c>
      <c r="D325" s="19">
        <v>1662.4</v>
      </c>
      <c r="E325" s="19">
        <v>1640.2</v>
      </c>
      <c r="F325" s="19">
        <v>1676.8</v>
      </c>
      <c r="G325" s="19">
        <v>1677.9</v>
      </c>
      <c r="H325" s="19">
        <v>1698.6</v>
      </c>
      <c r="I325" s="19">
        <v>1337.2</v>
      </c>
      <c r="J325" s="20">
        <v>1482</v>
      </c>
      <c r="K325" s="11">
        <f t="shared" si="18"/>
        <v>12839.300000000001</v>
      </c>
      <c r="M325" s="21">
        <f t="shared" ref="M325:M388" si="20">B325</f>
        <v>46160</v>
      </c>
      <c r="N325" s="26">
        <v>5.3868355877920955</v>
      </c>
    </row>
    <row r="326" spans="2:14" x14ac:dyDescent="0.3">
      <c r="B326" s="7">
        <f t="shared" si="19"/>
        <v>46161</v>
      </c>
      <c r="C326" s="18">
        <v>1701.4</v>
      </c>
      <c r="D326" s="19">
        <v>1710.6</v>
      </c>
      <c r="E326" s="19">
        <v>1696.2</v>
      </c>
      <c r="F326" s="19">
        <v>1711.3</v>
      </c>
      <c r="G326" s="19">
        <v>1719.6</v>
      </c>
      <c r="H326" s="19">
        <v>1733.8</v>
      </c>
      <c r="I326" s="19">
        <v>1745.2</v>
      </c>
      <c r="J326" s="20">
        <v>1753.6</v>
      </c>
      <c r="K326" s="11">
        <f t="shared" si="18"/>
        <v>13771.7</v>
      </c>
      <c r="M326" s="21">
        <f t="shared" si="20"/>
        <v>46161</v>
      </c>
      <c r="N326" s="26">
        <v>5.384634862855072</v>
      </c>
    </row>
    <row r="327" spans="2:14" x14ac:dyDescent="0.3">
      <c r="B327" s="7">
        <f t="shared" si="19"/>
        <v>46162</v>
      </c>
      <c r="C327" s="18">
        <v>1998.3</v>
      </c>
      <c r="D327" s="19">
        <v>2014.5</v>
      </c>
      <c r="E327" s="19">
        <v>1994.3</v>
      </c>
      <c r="F327" s="19">
        <v>2036.7</v>
      </c>
      <c r="G327" s="19">
        <v>2023.2</v>
      </c>
      <c r="H327" s="19">
        <v>2038.4</v>
      </c>
      <c r="I327" s="19">
        <v>2061.6999999999998</v>
      </c>
      <c r="J327" s="20">
        <v>2050</v>
      </c>
      <c r="K327" s="11">
        <f t="shared" si="18"/>
        <v>16217.099999999999</v>
      </c>
      <c r="M327" s="21">
        <f t="shared" si="20"/>
        <v>46162</v>
      </c>
      <c r="N327" s="26">
        <v>6.4106394295297378</v>
      </c>
    </row>
    <row r="328" spans="2:14" x14ac:dyDescent="0.3">
      <c r="B328" s="7">
        <f t="shared" si="19"/>
        <v>46163</v>
      </c>
      <c r="C328" s="18">
        <v>1795.8</v>
      </c>
      <c r="D328" s="19">
        <v>1796.9</v>
      </c>
      <c r="E328" s="19">
        <v>1760.9</v>
      </c>
      <c r="F328" s="19">
        <v>1789.7</v>
      </c>
      <c r="G328" s="19">
        <v>1778.8</v>
      </c>
      <c r="H328" s="19">
        <v>1794</v>
      </c>
      <c r="I328" s="19">
        <v>1819.2</v>
      </c>
      <c r="J328" s="20">
        <v>1807.2</v>
      </c>
      <c r="K328" s="11">
        <f t="shared" si="18"/>
        <v>14342.500000000002</v>
      </c>
      <c r="M328" s="21">
        <f t="shared" si="20"/>
        <v>46163</v>
      </c>
      <c r="N328" s="26">
        <v>6.0243706085681872</v>
      </c>
    </row>
    <row r="329" spans="2:14" x14ac:dyDescent="0.3">
      <c r="B329" s="7">
        <f t="shared" si="19"/>
        <v>46164</v>
      </c>
      <c r="C329" s="18">
        <v>1192.2</v>
      </c>
      <c r="D329" s="19">
        <v>1200.5999999999999</v>
      </c>
      <c r="E329" s="19">
        <v>1188.4000000000001</v>
      </c>
      <c r="F329" s="19">
        <v>1189.2</v>
      </c>
      <c r="G329" s="19">
        <v>1152.9000000000001</v>
      </c>
      <c r="H329" s="19">
        <v>1205</v>
      </c>
      <c r="I329" s="19">
        <v>1213.2</v>
      </c>
      <c r="J329" s="20">
        <v>1202</v>
      </c>
      <c r="K329" s="11">
        <f t="shared" si="18"/>
        <v>9543.5000000000018</v>
      </c>
      <c r="M329" s="21">
        <f t="shared" si="20"/>
        <v>46164</v>
      </c>
      <c r="N329" s="26">
        <v>3.7015249682466154</v>
      </c>
    </row>
    <row r="330" spans="2:14" x14ac:dyDescent="0.3">
      <c r="B330" s="7">
        <f t="shared" si="19"/>
        <v>46165</v>
      </c>
      <c r="C330" s="18">
        <v>780.8</v>
      </c>
      <c r="D330" s="19">
        <v>791.3</v>
      </c>
      <c r="E330" s="19">
        <v>798.5</v>
      </c>
      <c r="F330" s="19">
        <v>803.8</v>
      </c>
      <c r="G330" s="19">
        <v>813.9</v>
      </c>
      <c r="H330" s="19">
        <v>822.6</v>
      </c>
      <c r="I330" s="19">
        <v>832.7</v>
      </c>
      <c r="J330" s="20">
        <v>830.6</v>
      </c>
      <c r="K330" s="11">
        <f t="shared" si="18"/>
        <v>6474.2</v>
      </c>
      <c r="M330" s="21">
        <f t="shared" si="20"/>
        <v>46165</v>
      </c>
      <c r="N330" s="26">
        <v>2.3850985942780936</v>
      </c>
    </row>
    <row r="331" spans="2:14" x14ac:dyDescent="0.3">
      <c r="B331" s="7">
        <f t="shared" si="19"/>
        <v>46166</v>
      </c>
      <c r="C331" s="18">
        <v>816.1</v>
      </c>
      <c r="D331" s="19">
        <v>817.4</v>
      </c>
      <c r="E331" s="19">
        <v>812</v>
      </c>
      <c r="F331" s="19">
        <v>813.7</v>
      </c>
      <c r="G331" s="19">
        <v>816.9</v>
      </c>
      <c r="H331" s="19">
        <v>825</v>
      </c>
      <c r="I331" s="19">
        <v>832.2</v>
      </c>
      <c r="J331" s="20">
        <v>831.9</v>
      </c>
      <c r="K331" s="11">
        <f t="shared" si="18"/>
        <v>6565.2</v>
      </c>
      <c r="M331" s="21">
        <f t="shared" si="20"/>
        <v>46166</v>
      </c>
      <c r="N331" s="26">
        <v>2.5945947458933376</v>
      </c>
    </row>
    <row r="332" spans="2:14" x14ac:dyDescent="0.3">
      <c r="B332" s="7">
        <f t="shared" si="19"/>
        <v>46167</v>
      </c>
      <c r="C332" s="18">
        <v>1731.3</v>
      </c>
      <c r="D332" s="19">
        <v>1679</v>
      </c>
      <c r="E332" s="19">
        <v>1685.6</v>
      </c>
      <c r="F332" s="19">
        <v>1708.2</v>
      </c>
      <c r="G332" s="19">
        <v>1581.7</v>
      </c>
      <c r="H332" s="19">
        <v>1711.9</v>
      </c>
      <c r="I332" s="19">
        <v>1729.8</v>
      </c>
      <c r="J332" s="20">
        <v>1706.9</v>
      </c>
      <c r="K332" s="11">
        <f t="shared" si="18"/>
        <v>13534.399999999998</v>
      </c>
      <c r="M332" s="21">
        <f t="shared" si="20"/>
        <v>46167</v>
      </c>
      <c r="N332" s="26">
        <v>5.6759790639653769</v>
      </c>
    </row>
    <row r="333" spans="2:14" x14ac:dyDescent="0.3">
      <c r="B333" s="7">
        <f t="shared" si="19"/>
        <v>46168</v>
      </c>
      <c r="C333" s="18">
        <v>2009.8</v>
      </c>
      <c r="D333" s="19">
        <v>2008.3</v>
      </c>
      <c r="E333" s="19">
        <v>1969.8</v>
      </c>
      <c r="F333" s="19">
        <v>1993.2</v>
      </c>
      <c r="G333" s="19">
        <v>1981.8</v>
      </c>
      <c r="H333" s="19">
        <v>1996.3</v>
      </c>
      <c r="I333" s="19">
        <v>2018.7</v>
      </c>
      <c r="J333" s="20">
        <v>2004.4</v>
      </c>
      <c r="K333" s="11">
        <f t="shared" si="18"/>
        <v>15982.3</v>
      </c>
      <c r="M333" s="21">
        <f t="shared" si="20"/>
        <v>46168</v>
      </c>
      <c r="N333" s="26">
        <v>6.3990062096218248</v>
      </c>
    </row>
    <row r="334" spans="2:14" x14ac:dyDescent="0.3">
      <c r="B334" s="7">
        <f t="shared" si="19"/>
        <v>46169</v>
      </c>
      <c r="C334" s="18">
        <v>1741.2</v>
      </c>
      <c r="D334" s="19">
        <v>1718.5</v>
      </c>
      <c r="E334" s="19">
        <v>1676.3</v>
      </c>
      <c r="F334" s="19">
        <v>1704.5</v>
      </c>
      <c r="G334" s="19">
        <v>1676.8</v>
      </c>
      <c r="H334" s="19">
        <v>1706</v>
      </c>
      <c r="I334" s="19">
        <v>1728.9</v>
      </c>
      <c r="J334" s="20">
        <v>1719.4</v>
      </c>
      <c r="K334" s="11">
        <f t="shared" si="18"/>
        <v>13671.599999999999</v>
      </c>
      <c r="M334" s="21">
        <f t="shared" si="20"/>
        <v>46169</v>
      </c>
      <c r="N334" s="26">
        <v>5.7119987814426381</v>
      </c>
    </row>
    <row r="335" spans="2:14" x14ac:dyDescent="0.3">
      <c r="B335" s="7">
        <f t="shared" si="19"/>
        <v>46170</v>
      </c>
      <c r="C335" s="18">
        <v>1272.0999999999999</v>
      </c>
      <c r="D335" s="19">
        <v>1230.8</v>
      </c>
      <c r="E335" s="19">
        <v>1246.5999999999999</v>
      </c>
      <c r="F335" s="19">
        <v>1258.4000000000001</v>
      </c>
      <c r="G335" s="19">
        <v>1172.5</v>
      </c>
      <c r="H335" s="19">
        <v>1273.7</v>
      </c>
      <c r="I335" s="19">
        <v>1289.8</v>
      </c>
      <c r="J335" s="20">
        <v>1267.5999999999999</v>
      </c>
      <c r="K335" s="11">
        <f t="shared" si="18"/>
        <v>10011.5</v>
      </c>
      <c r="M335" s="21">
        <f t="shared" si="20"/>
        <v>46170</v>
      </c>
      <c r="N335" s="26">
        <v>4.0219949501405123</v>
      </c>
    </row>
    <row r="336" spans="2:14" x14ac:dyDescent="0.3">
      <c r="B336" s="7">
        <f t="shared" si="19"/>
        <v>46171</v>
      </c>
      <c r="C336" s="18">
        <v>1460.6</v>
      </c>
      <c r="D336" s="19">
        <v>1454.1</v>
      </c>
      <c r="E336" s="19">
        <v>1429.5</v>
      </c>
      <c r="F336" s="19">
        <v>1441.8</v>
      </c>
      <c r="G336" s="19">
        <v>1415.1</v>
      </c>
      <c r="H336" s="19">
        <v>1443.8</v>
      </c>
      <c r="I336" s="19">
        <v>1461.1</v>
      </c>
      <c r="J336" s="20">
        <v>1455.1</v>
      </c>
      <c r="K336" s="11">
        <f t="shared" si="18"/>
        <v>11561.1</v>
      </c>
      <c r="M336" s="21">
        <f t="shared" si="20"/>
        <v>46171</v>
      </c>
      <c r="N336" s="26">
        <v>4.7626677538851858</v>
      </c>
    </row>
    <row r="337" spans="2:14" x14ac:dyDescent="0.3">
      <c r="B337" s="7">
        <f t="shared" si="19"/>
        <v>46172</v>
      </c>
      <c r="C337" s="18">
        <v>721.8</v>
      </c>
      <c r="D337" s="19">
        <v>721</v>
      </c>
      <c r="E337" s="19">
        <v>740.8</v>
      </c>
      <c r="F337" s="19">
        <v>738.6</v>
      </c>
      <c r="G337" s="19">
        <v>739.1</v>
      </c>
      <c r="H337" s="19">
        <v>744.4</v>
      </c>
      <c r="I337" s="19">
        <v>747.9</v>
      </c>
      <c r="J337" s="20">
        <v>747.5</v>
      </c>
      <c r="K337" s="11">
        <f t="shared" si="18"/>
        <v>5901.0999999999995</v>
      </c>
      <c r="M337" s="21">
        <f t="shared" si="20"/>
        <v>46172</v>
      </c>
      <c r="N337" s="26">
        <v>2.3402346382141079</v>
      </c>
    </row>
    <row r="338" spans="2:14" x14ac:dyDescent="0.3">
      <c r="B338" s="7">
        <f t="shared" si="19"/>
        <v>46173</v>
      </c>
      <c r="C338" s="18">
        <v>1535.9</v>
      </c>
      <c r="D338" s="19">
        <v>1517.2</v>
      </c>
      <c r="E338" s="19">
        <v>1571.4</v>
      </c>
      <c r="F338" s="19">
        <v>1609.6</v>
      </c>
      <c r="G338" s="19">
        <v>1549.1</v>
      </c>
      <c r="H338" s="19">
        <v>1622.3</v>
      </c>
      <c r="I338" s="19">
        <v>1645.5</v>
      </c>
      <c r="J338" s="20">
        <v>1639.1</v>
      </c>
      <c r="K338" s="11">
        <f t="shared" si="18"/>
        <v>12690.1</v>
      </c>
      <c r="M338" s="21">
        <f t="shared" si="20"/>
        <v>46173</v>
      </c>
      <c r="N338" s="26">
        <v>5.393301105663177</v>
      </c>
    </row>
    <row r="339" spans="2:14" x14ac:dyDescent="0.3">
      <c r="B339" s="7">
        <v>46174</v>
      </c>
      <c r="C339" s="18">
        <v>1288.3</v>
      </c>
      <c r="D339" s="19">
        <v>1273.7</v>
      </c>
      <c r="E339" s="19">
        <v>1249.3</v>
      </c>
      <c r="F339" s="19">
        <v>1252.8</v>
      </c>
      <c r="G339" s="19">
        <v>1228.5</v>
      </c>
      <c r="H339" s="19">
        <v>1223.4000000000001</v>
      </c>
      <c r="I339" s="19">
        <v>1222.9000000000001</v>
      </c>
      <c r="J339" s="20">
        <v>1207.9000000000001</v>
      </c>
      <c r="K339" s="11">
        <f>SUM(C339:J339)</f>
        <v>9946.7999999999993</v>
      </c>
      <c r="M339" s="21">
        <f t="shared" si="20"/>
        <v>46174</v>
      </c>
      <c r="N339" s="26">
        <v>4.1768151228615658</v>
      </c>
    </row>
    <row r="340" spans="2:14" x14ac:dyDescent="0.3">
      <c r="B340" s="7">
        <f>B339+1</f>
        <v>46175</v>
      </c>
      <c r="C340" s="18">
        <v>1529</v>
      </c>
      <c r="D340" s="19">
        <v>1471</v>
      </c>
      <c r="E340" s="19">
        <v>1528.6</v>
      </c>
      <c r="F340" s="19">
        <v>1532.3</v>
      </c>
      <c r="G340" s="19">
        <v>1387.9</v>
      </c>
      <c r="H340" s="19">
        <v>1510.1</v>
      </c>
      <c r="I340" s="19">
        <v>1543.1</v>
      </c>
      <c r="J340" s="20">
        <v>1522.2</v>
      </c>
      <c r="K340" s="11">
        <f t="shared" ref="K340:K394" si="21">SUM(C340:J340)</f>
        <v>12024.200000000003</v>
      </c>
      <c r="M340" s="21">
        <f t="shared" si="20"/>
        <v>46175</v>
      </c>
      <c r="N340" s="26">
        <v>5.3574161013622135</v>
      </c>
    </row>
    <row r="341" spans="2:14" x14ac:dyDescent="0.3">
      <c r="B341" s="7">
        <f t="shared" ref="B341:B368" si="22">B340+1</f>
        <v>46176</v>
      </c>
      <c r="C341" s="18">
        <v>1576.8</v>
      </c>
      <c r="D341" s="19">
        <v>1546.7</v>
      </c>
      <c r="E341" s="19">
        <v>1545.2</v>
      </c>
      <c r="F341" s="19">
        <v>1548</v>
      </c>
      <c r="G341" s="19">
        <v>1482.7</v>
      </c>
      <c r="H341" s="19">
        <v>1538.7</v>
      </c>
      <c r="I341" s="19">
        <v>1550.3</v>
      </c>
      <c r="J341" s="20">
        <v>1537.8</v>
      </c>
      <c r="K341" s="11">
        <f t="shared" si="21"/>
        <v>12326.199999999999</v>
      </c>
      <c r="M341" s="21">
        <f t="shared" si="20"/>
        <v>46176</v>
      </c>
      <c r="N341" s="26">
        <v>4.9957751924569376</v>
      </c>
    </row>
    <row r="342" spans="2:14" x14ac:dyDescent="0.3">
      <c r="B342" s="7">
        <f t="shared" si="22"/>
        <v>46177</v>
      </c>
      <c r="C342" s="18">
        <v>2156.6999999999998</v>
      </c>
      <c r="D342" s="19">
        <v>2145.6</v>
      </c>
      <c r="E342" s="19">
        <v>2111.3000000000002</v>
      </c>
      <c r="F342" s="19">
        <v>2130.6</v>
      </c>
      <c r="G342" s="19">
        <v>2116.9</v>
      </c>
      <c r="H342" s="19">
        <v>2126</v>
      </c>
      <c r="I342" s="19">
        <v>2159.1999999999998</v>
      </c>
      <c r="J342" s="20">
        <v>2137.1999999999998</v>
      </c>
      <c r="K342" s="11">
        <f t="shared" si="21"/>
        <v>17083.5</v>
      </c>
      <c r="M342" s="21">
        <f t="shared" si="20"/>
        <v>46177</v>
      </c>
      <c r="N342" s="26">
        <v>6.7580591460081401</v>
      </c>
    </row>
    <row r="343" spans="2:14" x14ac:dyDescent="0.3">
      <c r="B343" s="7">
        <f t="shared" si="22"/>
        <v>46178</v>
      </c>
      <c r="C343" s="18">
        <v>2062.8000000000002</v>
      </c>
      <c r="D343" s="19">
        <v>2057</v>
      </c>
      <c r="E343" s="19">
        <v>2010.4</v>
      </c>
      <c r="F343" s="19">
        <v>2038.3</v>
      </c>
      <c r="G343" s="19">
        <v>1971.5</v>
      </c>
      <c r="H343" s="19">
        <v>2037.9</v>
      </c>
      <c r="I343" s="19">
        <v>2064.6999999999998</v>
      </c>
      <c r="J343" s="20">
        <v>2051.9</v>
      </c>
      <c r="K343" s="11">
        <f t="shared" si="21"/>
        <v>16294.499999999998</v>
      </c>
      <c r="M343" s="21">
        <f t="shared" si="20"/>
        <v>46178</v>
      </c>
      <c r="N343" s="26">
        <v>5.8898654476540759</v>
      </c>
    </row>
    <row r="344" spans="2:14" x14ac:dyDescent="0.3">
      <c r="B344" s="7">
        <f t="shared" si="22"/>
        <v>46179</v>
      </c>
      <c r="C344" s="18">
        <v>2076.1999999999998</v>
      </c>
      <c r="D344" s="19">
        <v>2065.1999999999998</v>
      </c>
      <c r="E344" s="19">
        <v>2096.8000000000002</v>
      </c>
      <c r="F344" s="19">
        <v>2123.9</v>
      </c>
      <c r="G344" s="19">
        <v>2119</v>
      </c>
      <c r="H344" s="19">
        <v>2135.4</v>
      </c>
      <c r="I344" s="19">
        <v>2154.9</v>
      </c>
      <c r="J344" s="20">
        <v>2142.5</v>
      </c>
      <c r="K344" s="11">
        <f t="shared" si="21"/>
        <v>16913.900000000001</v>
      </c>
      <c r="M344" s="21">
        <f t="shared" si="20"/>
        <v>46179</v>
      </c>
      <c r="N344" s="26">
        <v>6.1049827060194986</v>
      </c>
    </row>
    <row r="345" spans="2:14" x14ac:dyDescent="0.3">
      <c r="B345" s="7">
        <f t="shared" si="22"/>
        <v>46180</v>
      </c>
      <c r="C345" s="18">
        <v>1957</v>
      </c>
      <c r="D345" s="19">
        <v>1949.1</v>
      </c>
      <c r="E345" s="19">
        <v>2062.9</v>
      </c>
      <c r="F345" s="19">
        <v>2090.1999999999998</v>
      </c>
      <c r="G345" s="19">
        <v>2081.4</v>
      </c>
      <c r="H345" s="19">
        <v>2092.1</v>
      </c>
      <c r="I345" s="19">
        <v>2120.5</v>
      </c>
      <c r="J345" s="20">
        <v>2107.9</v>
      </c>
      <c r="K345" s="11">
        <f t="shared" si="21"/>
        <v>16461.100000000002</v>
      </c>
      <c r="M345" s="21">
        <f t="shared" si="20"/>
        <v>46180</v>
      </c>
      <c r="N345" s="26">
        <v>5.9806215251740822</v>
      </c>
    </row>
    <row r="346" spans="2:14" x14ac:dyDescent="0.3">
      <c r="B346" s="7">
        <f t="shared" si="22"/>
        <v>46181</v>
      </c>
      <c r="C346" s="18">
        <v>1672.8</v>
      </c>
      <c r="D346" s="19">
        <v>1646.8</v>
      </c>
      <c r="E346" s="19">
        <v>1646.1</v>
      </c>
      <c r="F346" s="19">
        <v>1671.5</v>
      </c>
      <c r="G346" s="19">
        <v>1632.7</v>
      </c>
      <c r="H346" s="19">
        <v>1671</v>
      </c>
      <c r="I346" s="19">
        <v>1689.1</v>
      </c>
      <c r="J346" s="20">
        <v>1676.9</v>
      </c>
      <c r="K346" s="11">
        <f t="shared" si="21"/>
        <v>13306.9</v>
      </c>
      <c r="M346" s="21">
        <f t="shared" si="20"/>
        <v>46181</v>
      </c>
      <c r="N346" s="26">
        <v>5.3372772868325287</v>
      </c>
    </row>
    <row r="347" spans="2:14" x14ac:dyDescent="0.3">
      <c r="B347" s="7">
        <f t="shared" si="22"/>
        <v>46182</v>
      </c>
      <c r="C347" s="18">
        <v>1633.3</v>
      </c>
      <c r="D347" s="19">
        <v>1626.4</v>
      </c>
      <c r="E347" s="19">
        <v>1599.5</v>
      </c>
      <c r="F347" s="19">
        <v>1615</v>
      </c>
      <c r="G347" s="19">
        <v>1600.2</v>
      </c>
      <c r="H347" s="19">
        <v>1607.1</v>
      </c>
      <c r="I347" s="19">
        <v>1625</v>
      </c>
      <c r="J347" s="20">
        <v>1624.4</v>
      </c>
      <c r="K347" s="11">
        <f t="shared" si="21"/>
        <v>12930.9</v>
      </c>
      <c r="M347" s="21">
        <f t="shared" si="20"/>
        <v>46182</v>
      </c>
      <c r="N347" s="26">
        <v>5.2199523016065319</v>
      </c>
    </row>
    <row r="348" spans="2:14" x14ac:dyDescent="0.3">
      <c r="B348" s="7">
        <f t="shared" si="22"/>
        <v>46183</v>
      </c>
      <c r="C348" s="18">
        <v>1518.8</v>
      </c>
      <c r="D348" s="19">
        <v>1495.2</v>
      </c>
      <c r="E348" s="19">
        <v>1486.6</v>
      </c>
      <c r="F348" s="19">
        <v>1492.2</v>
      </c>
      <c r="G348" s="19">
        <v>1434.5</v>
      </c>
      <c r="H348" s="19">
        <v>1499.7</v>
      </c>
      <c r="I348" s="19">
        <v>1515.4</v>
      </c>
      <c r="J348" s="20">
        <v>1479.1</v>
      </c>
      <c r="K348" s="11">
        <f t="shared" si="21"/>
        <v>11921.5</v>
      </c>
      <c r="M348" s="21">
        <f t="shared" si="20"/>
        <v>46183</v>
      </c>
      <c r="N348" s="26">
        <v>4.9534376272596372</v>
      </c>
    </row>
    <row r="349" spans="2:14" x14ac:dyDescent="0.3">
      <c r="B349" s="7">
        <f t="shared" si="22"/>
        <v>46184</v>
      </c>
      <c r="C349" s="18">
        <v>989.3</v>
      </c>
      <c r="D349" s="19">
        <v>992.5</v>
      </c>
      <c r="E349" s="19">
        <v>982.8</v>
      </c>
      <c r="F349" s="19">
        <v>981.9</v>
      </c>
      <c r="G349" s="19">
        <v>962.3</v>
      </c>
      <c r="H349" s="19">
        <v>980</v>
      </c>
      <c r="I349" s="19">
        <v>982.1</v>
      </c>
      <c r="J349" s="20">
        <v>975.6</v>
      </c>
      <c r="K349" s="11">
        <f t="shared" si="21"/>
        <v>7846.5000000000009</v>
      </c>
      <c r="M349" s="21">
        <f t="shared" si="20"/>
        <v>46184</v>
      </c>
      <c r="N349" s="26">
        <v>2.9988689886046886</v>
      </c>
    </row>
    <row r="350" spans="2:14" x14ac:dyDescent="0.3">
      <c r="B350" s="7">
        <f t="shared" si="22"/>
        <v>46185</v>
      </c>
      <c r="C350" s="18">
        <v>648.6</v>
      </c>
      <c r="D350" s="19">
        <v>652.4</v>
      </c>
      <c r="E350" s="19">
        <v>648.29999999999995</v>
      </c>
      <c r="F350" s="19">
        <v>645.79999999999995</v>
      </c>
      <c r="G350" s="19">
        <v>645.79999999999995</v>
      </c>
      <c r="H350" s="19">
        <v>650.29999999999995</v>
      </c>
      <c r="I350" s="19">
        <v>653.4</v>
      </c>
      <c r="J350" s="20">
        <v>649.4</v>
      </c>
      <c r="K350" s="11">
        <f t="shared" si="21"/>
        <v>5193.9999999999991</v>
      </c>
      <c r="M350" s="21">
        <f t="shared" si="20"/>
        <v>46185</v>
      </c>
      <c r="N350" s="26">
        <v>2.0063394184696146</v>
      </c>
    </row>
    <row r="351" spans="2:14" x14ac:dyDescent="0.3">
      <c r="B351" s="7">
        <f t="shared" si="22"/>
        <v>46186</v>
      </c>
      <c r="C351" s="18">
        <v>1006.6</v>
      </c>
      <c r="D351" s="19">
        <v>1010.3</v>
      </c>
      <c r="E351" s="19">
        <v>1016.8</v>
      </c>
      <c r="F351" s="19">
        <v>1019</v>
      </c>
      <c r="G351" s="19">
        <v>1016.2</v>
      </c>
      <c r="H351" s="19">
        <v>1022</v>
      </c>
      <c r="I351" s="19">
        <v>1024.0999999999999</v>
      </c>
      <c r="J351" s="20">
        <v>1015</v>
      </c>
      <c r="K351" s="11">
        <f t="shared" si="21"/>
        <v>8130</v>
      </c>
      <c r="M351" s="21">
        <f t="shared" si="20"/>
        <v>46186</v>
      </c>
      <c r="N351" s="26">
        <v>3.3152999327126862</v>
      </c>
    </row>
    <row r="352" spans="2:14" x14ac:dyDescent="0.3">
      <c r="B352" s="7">
        <f t="shared" si="22"/>
        <v>46187</v>
      </c>
      <c r="C352" s="18">
        <v>1336.4</v>
      </c>
      <c r="D352" s="19">
        <v>1329</v>
      </c>
      <c r="E352" s="19">
        <v>1343</v>
      </c>
      <c r="F352" s="19">
        <v>1338</v>
      </c>
      <c r="G352" s="19">
        <v>1308.3</v>
      </c>
      <c r="H352" s="19">
        <v>1324.4</v>
      </c>
      <c r="I352" s="19">
        <v>1332.2</v>
      </c>
      <c r="J352" s="20">
        <v>1319.5</v>
      </c>
      <c r="K352" s="11">
        <f t="shared" si="21"/>
        <v>10630.800000000001</v>
      </c>
      <c r="M352" s="21">
        <f t="shared" si="20"/>
        <v>46187</v>
      </c>
      <c r="N352" s="26">
        <v>4.1951478013570078</v>
      </c>
    </row>
    <row r="353" spans="2:14" x14ac:dyDescent="0.3">
      <c r="B353" s="7">
        <f t="shared" si="22"/>
        <v>46188</v>
      </c>
      <c r="C353" s="18">
        <v>1777.8</v>
      </c>
      <c r="D353" s="19">
        <v>1760.9</v>
      </c>
      <c r="E353" s="19">
        <v>1767.9</v>
      </c>
      <c r="F353" s="19">
        <v>1785.9</v>
      </c>
      <c r="G353" s="19">
        <v>1771.5</v>
      </c>
      <c r="H353" s="19">
        <v>1782.6</v>
      </c>
      <c r="I353" s="19">
        <v>1805.7</v>
      </c>
      <c r="J353" s="20">
        <v>1794.2</v>
      </c>
      <c r="K353" s="11">
        <f t="shared" si="21"/>
        <v>14246.500000000002</v>
      </c>
      <c r="M353" s="21">
        <f t="shared" si="20"/>
        <v>46188</v>
      </c>
      <c r="N353" s="26">
        <v>5.8386460591852627</v>
      </c>
    </row>
    <row r="354" spans="2:14" x14ac:dyDescent="0.3">
      <c r="B354" s="7">
        <f t="shared" si="22"/>
        <v>46189</v>
      </c>
      <c r="C354" s="18">
        <v>1563</v>
      </c>
      <c r="D354" s="19">
        <v>1556.4</v>
      </c>
      <c r="E354" s="19">
        <v>1526.6</v>
      </c>
      <c r="F354" s="19">
        <v>1543</v>
      </c>
      <c r="G354" s="19">
        <v>1527.2</v>
      </c>
      <c r="H354" s="19">
        <v>1534.8</v>
      </c>
      <c r="I354" s="19">
        <v>1547.2</v>
      </c>
      <c r="J354" s="20">
        <v>1547.4</v>
      </c>
      <c r="K354" s="11">
        <f t="shared" si="21"/>
        <v>12345.6</v>
      </c>
      <c r="M354" s="21">
        <f t="shared" si="20"/>
        <v>46189</v>
      </c>
      <c r="N354" s="26">
        <v>5.0015999999999998</v>
      </c>
    </row>
    <row r="355" spans="2:14" x14ac:dyDescent="0.3">
      <c r="B355" s="7">
        <f t="shared" si="22"/>
        <v>46190</v>
      </c>
      <c r="C355" s="18">
        <v>1971.9</v>
      </c>
      <c r="D355" s="19">
        <v>1969.3</v>
      </c>
      <c r="E355" s="19">
        <v>1942.3</v>
      </c>
      <c r="F355" s="19">
        <v>1965.5</v>
      </c>
      <c r="G355" s="19">
        <v>1956.6</v>
      </c>
      <c r="H355" s="19">
        <v>1969.5</v>
      </c>
      <c r="I355" s="19">
        <v>1993.3</v>
      </c>
      <c r="J355" s="20">
        <v>1980.3</v>
      </c>
      <c r="K355" s="11">
        <f t="shared" si="21"/>
        <v>15748.699999999999</v>
      </c>
      <c r="M355" s="21">
        <f t="shared" si="20"/>
        <v>46190</v>
      </c>
      <c r="N355" s="26">
        <v>6.3815999999999997</v>
      </c>
    </row>
    <row r="356" spans="2:14" x14ac:dyDescent="0.3">
      <c r="B356" s="7">
        <f t="shared" si="22"/>
        <v>46191</v>
      </c>
      <c r="C356" s="18">
        <v>2014.1</v>
      </c>
      <c r="D356" s="19">
        <v>2002.2</v>
      </c>
      <c r="E356" s="19">
        <v>1964.3</v>
      </c>
      <c r="F356" s="19">
        <v>1988.7</v>
      </c>
      <c r="G356" s="19">
        <v>1977.3</v>
      </c>
      <c r="H356" s="19">
        <v>1992.1</v>
      </c>
      <c r="I356" s="19">
        <v>2015.3</v>
      </c>
      <c r="J356" s="20">
        <v>2004.5</v>
      </c>
      <c r="K356" s="11">
        <f t="shared" si="21"/>
        <v>15958.5</v>
      </c>
      <c r="M356" s="21">
        <f t="shared" si="20"/>
        <v>46191</v>
      </c>
      <c r="N356" s="26">
        <v>6.4912999999999998</v>
      </c>
    </row>
    <row r="357" spans="2:14" x14ac:dyDescent="0.3">
      <c r="B357" s="7">
        <f t="shared" si="22"/>
        <v>46192</v>
      </c>
      <c r="C357" s="18">
        <v>1578.8</v>
      </c>
      <c r="D357" s="19">
        <v>1561</v>
      </c>
      <c r="E357" s="19">
        <v>1518.7</v>
      </c>
      <c r="F357" s="19">
        <v>1542.7</v>
      </c>
      <c r="G357" s="19">
        <v>1532.6</v>
      </c>
      <c r="H357" s="19">
        <v>1546.6</v>
      </c>
      <c r="I357" s="19">
        <v>1568.8</v>
      </c>
      <c r="J357" s="20">
        <v>1563.4</v>
      </c>
      <c r="K357" s="11">
        <f t="shared" si="21"/>
        <v>12412.599999999999</v>
      </c>
      <c r="M357" s="21">
        <f t="shared" si="20"/>
        <v>46192</v>
      </c>
      <c r="N357" s="26">
        <v>5.0865999999999998</v>
      </c>
    </row>
    <row r="358" spans="2:14" x14ac:dyDescent="0.3">
      <c r="B358" s="7">
        <f t="shared" si="22"/>
        <v>46193</v>
      </c>
      <c r="C358" s="18">
        <v>1463.3</v>
      </c>
      <c r="D358" s="19">
        <v>1379.2</v>
      </c>
      <c r="E358" s="19">
        <v>1433.1</v>
      </c>
      <c r="F358" s="19">
        <v>1445.9</v>
      </c>
      <c r="G358" s="19">
        <v>1298</v>
      </c>
      <c r="H358" s="19">
        <v>1433.8</v>
      </c>
      <c r="I358" s="19">
        <v>1447.9</v>
      </c>
      <c r="J358" s="20">
        <v>1429</v>
      </c>
      <c r="K358" s="11">
        <f t="shared" si="21"/>
        <v>11330.199999999999</v>
      </c>
      <c r="M358" s="21">
        <f t="shared" si="20"/>
        <v>46193</v>
      </c>
      <c r="N358" s="26">
        <v>4.6205999999999996</v>
      </c>
    </row>
    <row r="359" spans="2:14" x14ac:dyDescent="0.3">
      <c r="B359" s="7">
        <f t="shared" si="22"/>
        <v>46194</v>
      </c>
      <c r="C359" s="18">
        <v>1353.5</v>
      </c>
      <c r="D359" s="19">
        <v>1351</v>
      </c>
      <c r="E359" s="19">
        <v>1392.9</v>
      </c>
      <c r="F359" s="19">
        <v>1404.8</v>
      </c>
      <c r="G359" s="19">
        <v>1397.9</v>
      </c>
      <c r="H359" s="19">
        <v>1405.2</v>
      </c>
      <c r="I359" s="19">
        <v>1415.5</v>
      </c>
      <c r="J359" s="20">
        <v>1401.3</v>
      </c>
      <c r="K359" s="11">
        <f t="shared" si="21"/>
        <v>11122.1</v>
      </c>
      <c r="M359" s="21">
        <f t="shared" si="20"/>
        <v>46194</v>
      </c>
      <c r="N359" s="26">
        <v>4.6212</v>
      </c>
    </row>
    <row r="360" spans="2:14" x14ac:dyDescent="0.3">
      <c r="B360" s="7">
        <f t="shared" si="22"/>
        <v>46195</v>
      </c>
      <c r="C360" s="18">
        <v>1257.8</v>
      </c>
      <c r="D360" s="19">
        <v>1246.0999999999999</v>
      </c>
      <c r="E360" s="19">
        <v>1216.8</v>
      </c>
      <c r="F360" s="19">
        <v>1237.4000000000001</v>
      </c>
      <c r="G360" s="19">
        <v>1214.2</v>
      </c>
      <c r="H360" s="19">
        <v>1241.7</v>
      </c>
      <c r="I360" s="19">
        <v>1259.2</v>
      </c>
      <c r="J360" s="20">
        <v>1252.9000000000001</v>
      </c>
      <c r="K360" s="11">
        <f t="shared" si="21"/>
        <v>9926.1</v>
      </c>
      <c r="M360" s="21">
        <f t="shared" si="20"/>
        <v>46195</v>
      </c>
      <c r="N360" s="26">
        <v>4.6266999999999996</v>
      </c>
    </row>
    <row r="361" spans="2:14" x14ac:dyDescent="0.3">
      <c r="B361" s="7">
        <f t="shared" si="22"/>
        <v>46196</v>
      </c>
      <c r="C361" s="18">
        <v>1669.4</v>
      </c>
      <c r="D361" s="19">
        <v>1611.5</v>
      </c>
      <c r="E361" s="19">
        <v>1638.3</v>
      </c>
      <c r="F361" s="19">
        <v>1683.1</v>
      </c>
      <c r="G361" s="19">
        <v>1597.1</v>
      </c>
      <c r="H361" s="19">
        <v>1696</v>
      </c>
      <c r="I361" s="19">
        <v>1711.8</v>
      </c>
      <c r="J361" s="20">
        <v>1705.9</v>
      </c>
      <c r="K361" s="11">
        <f t="shared" si="21"/>
        <v>13313.099999999999</v>
      </c>
      <c r="M361" s="21">
        <f t="shared" si="20"/>
        <v>46196</v>
      </c>
      <c r="N361" s="26">
        <v>5.3775000000000004</v>
      </c>
    </row>
    <row r="362" spans="2:14" x14ac:dyDescent="0.3">
      <c r="B362" s="7">
        <f t="shared" si="22"/>
        <v>46197</v>
      </c>
      <c r="C362" s="18">
        <v>1919.3</v>
      </c>
      <c r="D362" s="19">
        <v>1785.5</v>
      </c>
      <c r="E362" s="19">
        <v>1890.1</v>
      </c>
      <c r="F362" s="19">
        <v>1902.1</v>
      </c>
      <c r="G362" s="19">
        <v>1734.5</v>
      </c>
      <c r="H362" s="19">
        <v>1901.5</v>
      </c>
      <c r="I362" s="19">
        <v>1921.6</v>
      </c>
      <c r="J362" s="20">
        <v>1900</v>
      </c>
      <c r="K362" s="11">
        <f t="shared" si="21"/>
        <v>14954.6</v>
      </c>
      <c r="M362" s="21">
        <f t="shared" si="20"/>
        <v>46197</v>
      </c>
      <c r="N362" s="26">
        <v>6.2309999999999999</v>
      </c>
    </row>
    <row r="363" spans="2:14" x14ac:dyDescent="0.3">
      <c r="B363" s="7">
        <f t="shared" si="22"/>
        <v>46198</v>
      </c>
      <c r="C363" s="18">
        <v>1873.3</v>
      </c>
      <c r="D363" s="19">
        <v>1764.8</v>
      </c>
      <c r="E363" s="19">
        <v>1842</v>
      </c>
      <c r="F363" s="19">
        <v>1883.6</v>
      </c>
      <c r="G363" s="19">
        <v>1739.6</v>
      </c>
      <c r="H363" s="19">
        <v>1898.2</v>
      </c>
      <c r="I363" s="19">
        <v>1929.8</v>
      </c>
      <c r="J363" s="20">
        <v>1921.4</v>
      </c>
      <c r="K363" s="11">
        <f t="shared" si="21"/>
        <v>14852.7</v>
      </c>
      <c r="M363" s="21">
        <f t="shared" si="20"/>
        <v>46198</v>
      </c>
      <c r="N363" s="26">
        <v>5.9467999999999996</v>
      </c>
    </row>
    <row r="364" spans="2:14" x14ac:dyDescent="0.3">
      <c r="B364" s="7">
        <f t="shared" si="22"/>
        <v>46199</v>
      </c>
      <c r="C364" s="18">
        <v>1949.8</v>
      </c>
      <c r="D364" s="19">
        <v>1937.9</v>
      </c>
      <c r="E364" s="19">
        <v>1895.6</v>
      </c>
      <c r="F364" s="19">
        <v>1921.8</v>
      </c>
      <c r="G364" s="19">
        <v>1912.7</v>
      </c>
      <c r="H364" s="19">
        <v>1928.1</v>
      </c>
      <c r="I364" s="19">
        <v>1946.4</v>
      </c>
      <c r="J364" s="20">
        <v>1934.8</v>
      </c>
      <c r="K364" s="11">
        <f t="shared" si="21"/>
        <v>15427.099999999999</v>
      </c>
      <c r="M364" s="21">
        <f t="shared" si="20"/>
        <v>46199</v>
      </c>
      <c r="N364" s="26">
        <v>6.1923000000000004</v>
      </c>
    </row>
    <row r="365" spans="2:14" x14ac:dyDescent="0.3">
      <c r="B365" s="7">
        <f t="shared" si="22"/>
        <v>46200</v>
      </c>
      <c r="C365" s="18">
        <v>1601.2</v>
      </c>
      <c r="D365" s="19">
        <v>1590.2</v>
      </c>
      <c r="E365" s="19">
        <v>1626.2</v>
      </c>
      <c r="F365" s="19">
        <v>1640.2</v>
      </c>
      <c r="G365" s="19">
        <v>1636.9</v>
      </c>
      <c r="H365" s="19">
        <v>1651.8</v>
      </c>
      <c r="I365" s="19">
        <v>1664.7</v>
      </c>
      <c r="J365" s="20">
        <v>1653.4</v>
      </c>
      <c r="K365" s="11">
        <f t="shared" si="21"/>
        <v>13064.6</v>
      </c>
      <c r="M365" s="21">
        <f t="shared" si="20"/>
        <v>46200</v>
      </c>
      <c r="N365" s="26">
        <v>5.3014999999999999</v>
      </c>
    </row>
    <row r="366" spans="2:14" x14ac:dyDescent="0.3">
      <c r="B366" s="7">
        <f t="shared" si="22"/>
        <v>46201</v>
      </c>
      <c r="C366" s="18">
        <v>1894.5</v>
      </c>
      <c r="D366" s="19">
        <v>1888</v>
      </c>
      <c r="E366" s="19">
        <v>1996.6</v>
      </c>
      <c r="F366" s="19">
        <v>2021.5</v>
      </c>
      <c r="G366" s="19">
        <v>2009.6</v>
      </c>
      <c r="H366" s="19">
        <v>2022.9</v>
      </c>
      <c r="I366" s="19">
        <v>2052.6999999999998</v>
      </c>
      <c r="J366" s="20">
        <v>2039.3</v>
      </c>
      <c r="K366" s="11">
        <f t="shared" si="21"/>
        <v>15925.099999999999</v>
      </c>
      <c r="M366" s="21">
        <f t="shared" si="20"/>
        <v>46201</v>
      </c>
      <c r="N366" s="26">
        <v>6.5399000000000003</v>
      </c>
    </row>
    <row r="367" spans="2:14" x14ac:dyDescent="0.3">
      <c r="B367" s="7">
        <f t="shared" si="22"/>
        <v>46202</v>
      </c>
      <c r="C367" s="18">
        <v>2046.7</v>
      </c>
      <c r="D367" s="19">
        <v>1983.2</v>
      </c>
      <c r="E367" s="19">
        <v>2031.7</v>
      </c>
      <c r="F367" s="19">
        <v>2055</v>
      </c>
      <c r="G367" s="19">
        <v>1991.5</v>
      </c>
      <c r="H367" s="19">
        <v>2058.3000000000002</v>
      </c>
      <c r="I367" s="19">
        <v>2083.4</v>
      </c>
      <c r="J367" s="20">
        <v>2069.5</v>
      </c>
      <c r="K367" s="11">
        <f t="shared" si="21"/>
        <v>16319.300000000001</v>
      </c>
      <c r="M367" s="21">
        <f t="shared" si="20"/>
        <v>46202</v>
      </c>
      <c r="N367" s="26">
        <v>6.6172000000000004</v>
      </c>
    </row>
    <row r="368" spans="2:14" ht="15" thickBot="1" x14ac:dyDescent="0.35">
      <c r="B368" s="7">
        <f t="shared" si="22"/>
        <v>46203</v>
      </c>
      <c r="C368" s="18">
        <v>2038.9</v>
      </c>
      <c r="D368" s="19">
        <v>1851.1</v>
      </c>
      <c r="E368" s="19">
        <v>1995.9</v>
      </c>
      <c r="F368" s="19">
        <v>2025.8</v>
      </c>
      <c r="G368" s="19">
        <v>1814</v>
      </c>
      <c r="H368" s="19">
        <v>2034.6</v>
      </c>
      <c r="I368" s="19">
        <v>2046.9</v>
      </c>
      <c r="J368" s="20">
        <v>2055.8000000000002</v>
      </c>
      <c r="K368" s="24">
        <f t="shared" si="21"/>
        <v>15863</v>
      </c>
      <c r="M368" s="21">
        <f t="shared" si="20"/>
        <v>46203</v>
      </c>
      <c r="N368" s="26">
        <v>6.5076000000000001</v>
      </c>
    </row>
    <row r="369" spans="2:14" x14ac:dyDescent="0.3">
      <c r="B369" s="7">
        <v>46204</v>
      </c>
      <c r="C369" s="18">
        <v>2106.6999999999998</v>
      </c>
      <c r="D369" s="19">
        <v>2016.8</v>
      </c>
      <c r="E369" s="19">
        <v>2064.6</v>
      </c>
      <c r="F369" s="19">
        <v>2088.1</v>
      </c>
      <c r="G369" s="19">
        <v>1938.1</v>
      </c>
      <c r="H369" s="19">
        <v>2100.1999999999998</v>
      </c>
      <c r="I369" s="19">
        <v>2125.1999999999998</v>
      </c>
      <c r="J369" s="20">
        <v>2111.4</v>
      </c>
      <c r="K369" s="28">
        <f>SUM(C369:J369)</f>
        <v>16551.100000000002</v>
      </c>
      <c r="M369" s="21">
        <f t="shared" si="20"/>
        <v>46204</v>
      </c>
      <c r="N369" s="26">
        <v>6.7073999999999998</v>
      </c>
    </row>
    <row r="370" spans="2:14" x14ac:dyDescent="0.3">
      <c r="B370" s="7">
        <v>46205</v>
      </c>
      <c r="C370" s="18">
        <v>1819.2</v>
      </c>
      <c r="D370" s="19">
        <v>1694.9</v>
      </c>
      <c r="E370" s="19">
        <v>1765.8</v>
      </c>
      <c r="F370" s="19">
        <v>1798.6</v>
      </c>
      <c r="G370" s="19">
        <v>1578.2</v>
      </c>
      <c r="H370" s="19">
        <v>1782.1</v>
      </c>
      <c r="I370" s="19">
        <v>1782.5</v>
      </c>
      <c r="J370" s="20">
        <v>1736.8</v>
      </c>
      <c r="K370" s="29">
        <f t="shared" si="21"/>
        <v>13958.1</v>
      </c>
      <c r="M370" s="21">
        <f t="shared" si="20"/>
        <v>46205</v>
      </c>
      <c r="N370" s="26">
        <v>5.8955000000000002</v>
      </c>
    </row>
    <row r="371" spans="2:14" x14ac:dyDescent="0.3">
      <c r="B371" s="7">
        <v>46206</v>
      </c>
      <c r="C371" s="18">
        <v>2107.6999999999998</v>
      </c>
      <c r="D371" s="19">
        <v>2044.7</v>
      </c>
      <c r="E371" s="19">
        <v>2066.5</v>
      </c>
      <c r="F371" s="19">
        <v>2091.6</v>
      </c>
      <c r="G371" s="19">
        <v>2009.4</v>
      </c>
      <c r="H371" s="19">
        <v>2094.1999999999998</v>
      </c>
      <c r="I371" s="19">
        <v>2120.3000000000002</v>
      </c>
      <c r="J371" s="20">
        <v>2108.1999999999998</v>
      </c>
      <c r="K371" s="29">
        <f t="shared" si="21"/>
        <v>16642.599999999999</v>
      </c>
      <c r="M371" s="21">
        <f t="shared" si="20"/>
        <v>46206</v>
      </c>
      <c r="N371" s="26">
        <v>6.6962999999999999</v>
      </c>
    </row>
    <row r="372" spans="2:14" x14ac:dyDescent="0.3">
      <c r="B372" s="7">
        <v>46207</v>
      </c>
      <c r="C372" s="18">
        <v>1923.9</v>
      </c>
      <c r="D372" s="19">
        <v>1922.7</v>
      </c>
      <c r="E372" s="19">
        <v>2035.5</v>
      </c>
      <c r="F372" s="19">
        <v>2063.4</v>
      </c>
      <c r="G372" s="19">
        <v>2052.1</v>
      </c>
      <c r="H372" s="19">
        <v>2068.8000000000002</v>
      </c>
      <c r="I372" s="19">
        <v>2092.3000000000002</v>
      </c>
      <c r="J372" s="20">
        <v>2081.1</v>
      </c>
      <c r="K372" s="29">
        <f t="shared" si="21"/>
        <v>16239.800000000001</v>
      </c>
      <c r="M372" s="21">
        <f t="shared" si="20"/>
        <v>46207</v>
      </c>
      <c r="N372" s="26">
        <v>6.6779999999999999</v>
      </c>
    </row>
    <row r="373" spans="2:14" x14ac:dyDescent="0.3">
      <c r="B373" s="7">
        <v>46208</v>
      </c>
      <c r="C373" s="18">
        <v>1788.3</v>
      </c>
      <c r="D373" s="19">
        <v>1788.6</v>
      </c>
      <c r="E373" s="19">
        <v>1888.5</v>
      </c>
      <c r="F373" s="19">
        <v>1910.7</v>
      </c>
      <c r="G373" s="19">
        <v>1901.6</v>
      </c>
      <c r="H373" s="19">
        <v>1914.3</v>
      </c>
      <c r="I373" s="19">
        <v>1936.3</v>
      </c>
      <c r="J373" s="20">
        <v>1924.3</v>
      </c>
      <c r="K373" s="29">
        <f t="shared" si="21"/>
        <v>15052.599999999997</v>
      </c>
      <c r="M373" s="21">
        <f t="shared" si="20"/>
        <v>46208</v>
      </c>
      <c r="N373" s="26">
        <v>6.2362000000000002</v>
      </c>
    </row>
    <row r="374" spans="2:14" x14ac:dyDescent="0.3">
      <c r="B374" s="7">
        <v>46209</v>
      </c>
      <c r="C374" s="18">
        <v>1366.2</v>
      </c>
      <c r="D374" s="19">
        <v>1379.1</v>
      </c>
      <c r="E374" s="19">
        <v>1375.8</v>
      </c>
      <c r="F374" s="19">
        <v>1369.4</v>
      </c>
      <c r="G374" s="19">
        <v>1369.3</v>
      </c>
      <c r="H374" s="19">
        <v>1372.9</v>
      </c>
      <c r="I374" s="19">
        <v>1373.9</v>
      </c>
      <c r="J374" s="20">
        <v>1359.8</v>
      </c>
      <c r="K374" s="29">
        <f t="shared" si="21"/>
        <v>10966.4</v>
      </c>
      <c r="M374" s="21">
        <f t="shared" si="20"/>
        <v>46209</v>
      </c>
      <c r="N374" s="26">
        <v>4.5811999999999999</v>
      </c>
    </row>
    <row r="375" spans="2:14" x14ac:dyDescent="0.3">
      <c r="B375" s="7">
        <v>46210</v>
      </c>
      <c r="C375" s="18">
        <v>2022.9</v>
      </c>
      <c r="D375" s="19">
        <v>2020.4</v>
      </c>
      <c r="E375" s="19">
        <v>1991.9</v>
      </c>
      <c r="F375" s="19">
        <v>2018.9</v>
      </c>
      <c r="G375" s="19">
        <v>2006.9</v>
      </c>
      <c r="H375" s="19">
        <v>2019.2</v>
      </c>
      <c r="I375" s="19">
        <v>2042.8</v>
      </c>
      <c r="J375" s="20">
        <v>2030.5</v>
      </c>
      <c r="K375" s="29">
        <f t="shared" si="21"/>
        <v>16153.5</v>
      </c>
      <c r="M375" s="21">
        <f t="shared" si="20"/>
        <v>46210</v>
      </c>
      <c r="N375" s="26">
        <v>6.5587999999999997</v>
      </c>
    </row>
    <row r="376" spans="2:14" x14ac:dyDescent="0.3">
      <c r="B376" s="7">
        <v>46211</v>
      </c>
      <c r="C376" s="18">
        <v>1690.5</v>
      </c>
      <c r="D376" s="19">
        <v>1695</v>
      </c>
      <c r="E376" s="19">
        <v>1670.1</v>
      </c>
      <c r="F376" s="19">
        <v>1696.6</v>
      </c>
      <c r="G376" s="19">
        <v>1676.2</v>
      </c>
      <c r="H376" s="19">
        <v>1681.7</v>
      </c>
      <c r="I376" s="19">
        <v>1709.9</v>
      </c>
      <c r="J376" s="20">
        <v>1694.2</v>
      </c>
      <c r="K376" s="29">
        <f t="shared" si="21"/>
        <v>13514.200000000003</v>
      </c>
      <c r="M376" s="21">
        <f t="shared" si="20"/>
        <v>46211</v>
      </c>
      <c r="N376" s="26">
        <v>5.4518000000000004</v>
      </c>
    </row>
    <row r="377" spans="2:14" x14ac:dyDescent="0.3">
      <c r="B377" s="7">
        <v>46212</v>
      </c>
      <c r="C377" s="18">
        <v>1813</v>
      </c>
      <c r="D377" s="19">
        <v>1816.9</v>
      </c>
      <c r="E377" s="19">
        <v>1808.2</v>
      </c>
      <c r="F377" s="19">
        <v>1824.1</v>
      </c>
      <c r="G377" s="19">
        <v>1827.2</v>
      </c>
      <c r="H377" s="19">
        <v>1847.3</v>
      </c>
      <c r="I377" s="19">
        <v>1874</v>
      </c>
      <c r="J377" s="20">
        <v>1862.9</v>
      </c>
      <c r="K377" s="29">
        <f t="shared" si="21"/>
        <v>14673.6</v>
      </c>
      <c r="M377" s="21">
        <f t="shared" si="20"/>
        <v>46212</v>
      </c>
      <c r="N377" s="26">
        <v>5.8308999999999997</v>
      </c>
    </row>
    <row r="378" spans="2:14" x14ac:dyDescent="0.3">
      <c r="B378" s="7">
        <v>46213</v>
      </c>
      <c r="C378" s="18">
        <v>1535.3</v>
      </c>
      <c r="D378" s="19">
        <v>1542.4</v>
      </c>
      <c r="E378" s="19">
        <v>1516.7</v>
      </c>
      <c r="F378" s="19">
        <v>1538.4</v>
      </c>
      <c r="G378" s="19">
        <v>1530.4</v>
      </c>
      <c r="H378" s="19">
        <v>1538.6</v>
      </c>
      <c r="I378" s="19">
        <v>1556.6</v>
      </c>
      <c r="J378" s="20">
        <v>1552.2</v>
      </c>
      <c r="K378" s="29">
        <f t="shared" si="21"/>
        <v>12310.6</v>
      </c>
      <c r="M378" s="21">
        <f t="shared" si="20"/>
        <v>46213</v>
      </c>
      <c r="N378" s="26">
        <v>5.0503</v>
      </c>
    </row>
    <row r="379" spans="2:14" x14ac:dyDescent="0.3">
      <c r="B379" s="7">
        <v>46214</v>
      </c>
      <c r="C379" s="18">
        <v>1320.9</v>
      </c>
      <c r="D379" s="19">
        <v>1321.6</v>
      </c>
      <c r="E379" s="19">
        <v>1342.2</v>
      </c>
      <c r="F379" s="19">
        <v>1355.4</v>
      </c>
      <c r="G379" s="19">
        <v>1348.6</v>
      </c>
      <c r="H379" s="19">
        <v>1360.2</v>
      </c>
      <c r="I379" s="19">
        <v>1379.8</v>
      </c>
      <c r="J379" s="20">
        <v>1373.1</v>
      </c>
      <c r="K379" s="29">
        <f t="shared" si="21"/>
        <v>10801.800000000001</v>
      </c>
      <c r="M379" s="21">
        <f t="shared" si="20"/>
        <v>46214</v>
      </c>
      <c r="N379" s="26">
        <v>4.4702999999999999</v>
      </c>
    </row>
    <row r="380" spans="2:14" x14ac:dyDescent="0.3">
      <c r="B380" s="7">
        <v>46215</v>
      </c>
      <c r="C380" s="18">
        <v>1212.5999999999999</v>
      </c>
      <c r="D380" s="19">
        <v>1213.5999999999999</v>
      </c>
      <c r="E380" s="19">
        <v>1246</v>
      </c>
      <c r="F380" s="19">
        <v>1266.2</v>
      </c>
      <c r="G380" s="19">
        <v>1258.9000000000001</v>
      </c>
      <c r="H380" s="19">
        <v>1269.5</v>
      </c>
      <c r="I380" s="19">
        <v>1284.7</v>
      </c>
      <c r="J380" s="20">
        <v>1280.5999999999999</v>
      </c>
      <c r="K380" s="29">
        <f t="shared" si="21"/>
        <v>10032.1</v>
      </c>
      <c r="M380" s="21">
        <f t="shared" si="20"/>
        <v>46215</v>
      </c>
      <c r="N380" s="26">
        <v>4.0274000000000001</v>
      </c>
    </row>
    <row r="381" spans="2:14" x14ac:dyDescent="0.3">
      <c r="B381" s="7">
        <v>46216</v>
      </c>
      <c r="C381" s="18">
        <v>1646</v>
      </c>
      <c r="D381" s="19">
        <v>1613.1</v>
      </c>
      <c r="E381" s="19">
        <v>1651.3</v>
      </c>
      <c r="F381" s="19">
        <v>1673.9</v>
      </c>
      <c r="G381" s="19">
        <v>1590.2</v>
      </c>
      <c r="H381" s="19">
        <v>1678.5</v>
      </c>
      <c r="I381" s="19">
        <v>1696.9</v>
      </c>
      <c r="J381" s="20">
        <v>1689.9</v>
      </c>
      <c r="K381" s="29">
        <f t="shared" si="21"/>
        <v>13239.8</v>
      </c>
      <c r="M381" s="21">
        <f t="shared" si="20"/>
        <v>46216</v>
      </c>
      <c r="N381" s="26">
        <v>5.4987000000000004</v>
      </c>
    </row>
    <row r="382" spans="2:14" x14ac:dyDescent="0.3">
      <c r="B382" s="7">
        <v>46217</v>
      </c>
      <c r="C382" s="18">
        <v>1699.2</v>
      </c>
      <c r="D382" s="19">
        <v>1697.2</v>
      </c>
      <c r="E382" s="19">
        <v>1687.2</v>
      </c>
      <c r="F382" s="19">
        <v>1710.7</v>
      </c>
      <c r="G382" s="19">
        <v>1696.9</v>
      </c>
      <c r="H382" s="19">
        <v>1710.1</v>
      </c>
      <c r="I382" s="19">
        <v>1731.1</v>
      </c>
      <c r="J382" s="20">
        <v>1725</v>
      </c>
      <c r="K382" s="29">
        <f t="shared" si="21"/>
        <v>13657.400000000001</v>
      </c>
      <c r="M382" s="21">
        <f t="shared" si="20"/>
        <v>46217</v>
      </c>
      <c r="N382" s="26">
        <v>5.5629</v>
      </c>
    </row>
    <row r="383" spans="2:14" x14ac:dyDescent="0.3">
      <c r="B383" s="7">
        <v>46218</v>
      </c>
      <c r="C383" s="18">
        <v>1759.5</v>
      </c>
      <c r="D383" s="19">
        <v>1759.3</v>
      </c>
      <c r="E383" s="19">
        <v>1734.9</v>
      </c>
      <c r="F383" s="19">
        <v>1754.5</v>
      </c>
      <c r="G383" s="19">
        <v>1744.4</v>
      </c>
      <c r="H383" s="19">
        <v>1759.6</v>
      </c>
      <c r="I383" s="19">
        <v>1787.2</v>
      </c>
      <c r="J383" s="20">
        <v>1779.7</v>
      </c>
      <c r="K383" s="29">
        <f t="shared" si="21"/>
        <v>14079.100000000002</v>
      </c>
      <c r="M383" s="21">
        <f t="shared" si="20"/>
        <v>46218</v>
      </c>
      <c r="N383" s="26">
        <v>5.6772</v>
      </c>
    </row>
    <row r="384" spans="2:14" x14ac:dyDescent="0.3">
      <c r="B384" s="7">
        <v>46219</v>
      </c>
      <c r="C384" s="18">
        <v>1986.6</v>
      </c>
      <c r="D384" s="19">
        <v>1861.5</v>
      </c>
      <c r="E384" s="19">
        <v>2023.4</v>
      </c>
      <c r="F384" s="19">
        <v>2059.9</v>
      </c>
      <c r="G384" s="19">
        <v>1904.6</v>
      </c>
      <c r="H384" s="19">
        <v>2066.4</v>
      </c>
      <c r="I384" s="19">
        <v>2083.4</v>
      </c>
      <c r="J384" s="20">
        <v>2066.1</v>
      </c>
      <c r="K384" s="29">
        <f t="shared" si="21"/>
        <v>16051.9</v>
      </c>
      <c r="M384" s="21">
        <f t="shared" si="20"/>
        <v>46219</v>
      </c>
      <c r="N384" s="26">
        <v>6.6615000000000002</v>
      </c>
    </row>
    <row r="385" spans="2:14" x14ac:dyDescent="0.3">
      <c r="B385" s="7">
        <v>46220</v>
      </c>
      <c r="C385" s="18">
        <v>2172.1999999999998</v>
      </c>
      <c r="D385" s="19">
        <v>1976.9</v>
      </c>
      <c r="E385" s="19">
        <v>2140.9</v>
      </c>
      <c r="F385" s="19">
        <v>2178.9</v>
      </c>
      <c r="G385" s="19">
        <v>1873.8</v>
      </c>
      <c r="H385" s="19">
        <v>2153.5</v>
      </c>
      <c r="I385" s="19">
        <v>2183.1</v>
      </c>
      <c r="J385" s="20">
        <v>2167.1</v>
      </c>
      <c r="K385" s="29">
        <f t="shared" si="21"/>
        <v>16846.399999999998</v>
      </c>
      <c r="M385" s="21">
        <f t="shared" si="20"/>
        <v>46220</v>
      </c>
      <c r="N385" s="26">
        <v>6.9649999999999999</v>
      </c>
    </row>
    <row r="386" spans="2:14" x14ac:dyDescent="0.3">
      <c r="B386" s="7">
        <v>46221</v>
      </c>
      <c r="C386" s="18">
        <v>1961</v>
      </c>
      <c r="D386" s="19">
        <v>1958</v>
      </c>
      <c r="E386" s="19">
        <v>2079.8000000000002</v>
      </c>
      <c r="F386" s="19">
        <v>2116.4</v>
      </c>
      <c r="G386" s="19">
        <v>2102.1</v>
      </c>
      <c r="H386" s="19">
        <v>2116.3000000000002</v>
      </c>
      <c r="I386" s="19">
        <v>2140.4</v>
      </c>
      <c r="J386" s="20">
        <v>2124.4</v>
      </c>
      <c r="K386" s="29">
        <f t="shared" si="21"/>
        <v>16598.400000000001</v>
      </c>
      <c r="M386" s="21">
        <f t="shared" si="20"/>
        <v>46221</v>
      </c>
      <c r="N386" s="26">
        <v>6.8274999999999997</v>
      </c>
    </row>
    <row r="387" spans="2:14" x14ac:dyDescent="0.3">
      <c r="B387" s="7">
        <v>46222</v>
      </c>
      <c r="C387" s="18">
        <v>1842.3</v>
      </c>
      <c r="D387" s="19">
        <v>1390.5</v>
      </c>
      <c r="E387" s="19">
        <v>1982.6</v>
      </c>
      <c r="F387" s="19">
        <v>2013.3</v>
      </c>
      <c r="G387" s="19">
        <v>1423</v>
      </c>
      <c r="H387" s="19">
        <v>1974.6</v>
      </c>
      <c r="I387" s="19">
        <v>1999.5</v>
      </c>
      <c r="J387" s="20">
        <v>1886.7</v>
      </c>
      <c r="K387" s="29">
        <f t="shared" si="21"/>
        <v>14512.500000000002</v>
      </c>
      <c r="M387" s="21">
        <f t="shared" si="20"/>
        <v>46222</v>
      </c>
      <c r="N387" s="26">
        <v>6.6833</v>
      </c>
    </row>
    <row r="388" spans="2:14" x14ac:dyDescent="0.3">
      <c r="B388" s="7">
        <v>46223</v>
      </c>
      <c r="C388" s="18">
        <v>2009.4</v>
      </c>
      <c r="D388" s="19">
        <v>2017.4</v>
      </c>
      <c r="E388" s="19">
        <v>2084.5</v>
      </c>
      <c r="F388" s="19">
        <v>2109.3000000000002</v>
      </c>
      <c r="G388" s="19">
        <v>2034.1</v>
      </c>
      <c r="H388" s="19">
        <v>2102</v>
      </c>
      <c r="I388" s="19">
        <v>2124</v>
      </c>
      <c r="J388" s="20">
        <v>2108.9</v>
      </c>
      <c r="K388" s="29">
        <f t="shared" si="21"/>
        <v>16589.600000000002</v>
      </c>
      <c r="M388" s="21">
        <f t="shared" si="20"/>
        <v>46223</v>
      </c>
      <c r="N388" s="26">
        <v>6.7622999999999998</v>
      </c>
    </row>
    <row r="389" spans="2:14" x14ac:dyDescent="0.3">
      <c r="B389" s="7">
        <v>46224</v>
      </c>
      <c r="C389" s="18">
        <v>2017.6</v>
      </c>
      <c r="D389" s="19">
        <v>1948.9</v>
      </c>
      <c r="E389" s="19">
        <v>2013.9</v>
      </c>
      <c r="F389" s="19">
        <v>2029.9</v>
      </c>
      <c r="G389" s="19">
        <v>1879.1</v>
      </c>
      <c r="H389" s="19">
        <v>2044.7</v>
      </c>
      <c r="I389" s="19">
        <v>2062</v>
      </c>
      <c r="J389" s="20">
        <v>2026</v>
      </c>
      <c r="K389" s="29">
        <f t="shared" si="21"/>
        <v>16022.1</v>
      </c>
      <c r="M389" s="21">
        <f t="shared" ref="M389:M394" si="23">B389</f>
        <v>46224</v>
      </c>
      <c r="N389" s="26">
        <v>6.6891999999999996</v>
      </c>
    </row>
    <row r="390" spans="2:14" x14ac:dyDescent="0.3">
      <c r="B390" s="7">
        <v>46225</v>
      </c>
      <c r="C390" s="18">
        <v>1524.6</v>
      </c>
      <c r="D390" s="19">
        <v>1538.1</v>
      </c>
      <c r="E390" s="19">
        <v>1509.9</v>
      </c>
      <c r="F390" s="19">
        <v>1528.3</v>
      </c>
      <c r="G390" s="19">
        <v>1510.1</v>
      </c>
      <c r="H390" s="19">
        <v>1516.1</v>
      </c>
      <c r="I390" s="19">
        <v>1531.5</v>
      </c>
      <c r="J390" s="20">
        <v>1534.4</v>
      </c>
      <c r="K390" s="29">
        <f t="shared" si="21"/>
        <v>12193</v>
      </c>
      <c r="M390" s="21">
        <f t="shared" si="23"/>
        <v>46225</v>
      </c>
      <c r="N390" s="26">
        <v>5.0169927216268677</v>
      </c>
    </row>
    <row r="391" spans="2:14" x14ac:dyDescent="0.3">
      <c r="B391" s="7">
        <v>46226</v>
      </c>
      <c r="C391" s="18">
        <v>2007.9</v>
      </c>
      <c r="D391" s="19">
        <v>1994</v>
      </c>
      <c r="E391" s="19">
        <v>1993.6</v>
      </c>
      <c r="F391" s="19">
        <v>2013.7</v>
      </c>
      <c r="G391" s="19">
        <v>1982</v>
      </c>
      <c r="H391" s="19">
        <v>2013.5</v>
      </c>
      <c r="I391" s="19">
        <v>2035.5</v>
      </c>
      <c r="J391" s="20">
        <v>2024.1</v>
      </c>
      <c r="K391" s="29">
        <f t="shared" si="21"/>
        <v>16064.300000000001</v>
      </c>
      <c r="M391" s="21">
        <f t="shared" si="23"/>
        <v>46226</v>
      </c>
      <c r="N391" s="26">
        <v>6.7465999999999999</v>
      </c>
    </row>
    <row r="392" spans="2:14" x14ac:dyDescent="0.3">
      <c r="B392" s="7">
        <v>46227</v>
      </c>
      <c r="C392" s="18">
        <v>1557.1</v>
      </c>
      <c r="D392" s="19">
        <v>1575.3</v>
      </c>
      <c r="E392" s="19">
        <v>1575.3</v>
      </c>
      <c r="F392" s="19">
        <v>1588.3</v>
      </c>
      <c r="G392" s="19">
        <v>1590.6</v>
      </c>
      <c r="H392" s="19">
        <v>1598</v>
      </c>
      <c r="I392" s="19">
        <v>1609.4</v>
      </c>
      <c r="J392" s="20">
        <v>1597</v>
      </c>
      <c r="K392" s="29">
        <f t="shared" si="21"/>
        <v>12691</v>
      </c>
      <c r="M392" s="21">
        <f t="shared" si="23"/>
        <v>46227</v>
      </c>
      <c r="N392" s="26">
        <v>5.2666000000000004</v>
      </c>
    </row>
    <row r="393" spans="2:14" x14ac:dyDescent="0.3">
      <c r="B393" s="7">
        <v>46228</v>
      </c>
      <c r="C393" s="18">
        <v>1636</v>
      </c>
      <c r="D393" s="19">
        <v>1604.2</v>
      </c>
      <c r="E393" s="19">
        <v>1655.2</v>
      </c>
      <c r="F393" s="19">
        <v>1678.6</v>
      </c>
      <c r="G393" s="19">
        <v>1578</v>
      </c>
      <c r="H393" s="19">
        <v>1677</v>
      </c>
      <c r="I393" s="19">
        <v>1681.1</v>
      </c>
      <c r="J393" s="20">
        <v>1682.3</v>
      </c>
      <c r="K393" s="29">
        <f t="shared" si="21"/>
        <v>13192.4</v>
      </c>
      <c r="M393" s="21">
        <f t="shared" si="23"/>
        <v>46228</v>
      </c>
      <c r="N393" s="26">
        <v>5.6719999999999997</v>
      </c>
    </row>
    <row r="394" spans="2:14" ht="15" thickBot="1" x14ac:dyDescent="0.35">
      <c r="B394" s="7">
        <v>46229</v>
      </c>
      <c r="C394" s="30">
        <v>1572.5</v>
      </c>
      <c r="D394" s="31">
        <v>1581.5</v>
      </c>
      <c r="E394" s="31">
        <v>1664.2</v>
      </c>
      <c r="F394" s="31">
        <v>1675.9</v>
      </c>
      <c r="G394" s="31">
        <v>1661.4</v>
      </c>
      <c r="H394" s="31">
        <v>1664.8</v>
      </c>
      <c r="I394" s="31">
        <v>1683.4</v>
      </c>
      <c r="J394" s="32">
        <v>1666.1</v>
      </c>
      <c r="K394" s="33">
        <f t="shared" si="21"/>
        <v>13169.8</v>
      </c>
      <c r="M394" s="34">
        <f t="shared" si="23"/>
        <v>46229</v>
      </c>
      <c r="N394" s="35">
        <v>5.4657999999999998</v>
      </c>
    </row>
    <row r="396" spans="2:14" x14ac:dyDescent="0.3">
      <c r="C396" s="17"/>
      <c r="D396" s="17"/>
      <c r="E396" s="17"/>
      <c r="F396" s="17"/>
      <c r="G396" s="17"/>
      <c r="H396" s="17"/>
      <c r="I396" s="17"/>
      <c r="J396" s="17"/>
    </row>
    <row r="400" spans="2:14" x14ac:dyDescent="0.3">
      <c r="C400" s="17"/>
      <c r="D400" s="17"/>
      <c r="E400" s="17"/>
      <c r="F400" s="17"/>
      <c r="G400" s="17"/>
      <c r="H400" s="17"/>
      <c r="I400" s="17"/>
      <c r="J400" s="17"/>
    </row>
    <row r="401" spans="3:11" x14ac:dyDescent="0.3">
      <c r="C401" s="17"/>
      <c r="D401" s="17"/>
      <c r="E401" s="17"/>
      <c r="F401" s="17"/>
      <c r="G401" s="17"/>
      <c r="H401" s="17"/>
      <c r="I401" s="17"/>
      <c r="J401" s="17"/>
      <c r="K401" s="17"/>
    </row>
    <row r="402" spans="3:11" x14ac:dyDescent="0.3">
      <c r="C402" s="17"/>
      <c r="D402" s="17"/>
      <c r="E402" s="17"/>
      <c r="F402" s="17"/>
      <c r="G402" s="17"/>
      <c r="H402" s="17"/>
      <c r="I402" s="17"/>
      <c r="J402" s="17"/>
      <c r="K402" s="17"/>
    </row>
    <row r="403" spans="3:11" x14ac:dyDescent="0.3">
      <c r="C403" s="17"/>
      <c r="D403" s="17"/>
      <c r="E403" s="17"/>
      <c r="F403" s="17"/>
      <c r="G403" s="17"/>
      <c r="H403" s="17"/>
      <c r="I403" s="17"/>
      <c r="J403" s="17"/>
      <c r="K403" s="17"/>
    </row>
  </sheetData>
  <mergeCells count="2">
    <mergeCell ref="B2:K2"/>
    <mergeCell ref="M2:N2"/>
  </mergeCells>
  <conditionalFormatting sqref="C35:J65">
    <cfRule type="cellIs" dxfId="21" priority="21" operator="greaterThan">
      <formula>5000</formula>
    </cfRule>
    <cfRule type="cellIs" dxfId="20" priority="22" operator="lessThan">
      <formula>1000</formula>
    </cfRule>
  </conditionalFormatting>
  <conditionalFormatting sqref="C66:J95">
    <cfRule type="cellIs" dxfId="19" priority="19" operator="greaterThan">
      <formula>5000</formula>
    </cfRule>
    <cfRule type="cellIs" dxfId="18" priority="20" operator="lessThan">
      <formula>1000</formula>
    </cfRule>
  </conditionalFormatting>
  <conditionalFormatting sqref="C96:J126">
    <cfRule type="cellIs" dxfId="17" priority="17" operator="greaterThan">
      <formula>5000</formula>
    </cfRule>
    <cfRule type="cellIs" dxfId="16" priority="18" operator="lessThan">
      <formula>1000</formula>
    </cfRule>
  </conditionalFormatting>
  <conditionalFormatting sqref="C127:J156">
    <cfRule type="cellIs" dxfId="15" priority="15" operator="greaterThan">
      <formula>5000</formula>
    </cfRule>
    <cfRule type="cellIs" dxfId="14" priority="16" operator="lessThan">
      <formula>1000</formula>
    </cfRule>
  </conditionalFormatting>
  <conditionalFormatting sqref="C157:J187">
    <cfRule type="cellIs" dxfId="13" priority="13" operator="greaterThan">
      <formula>5000</formula>
    </cfRule>
    <cfRule type="cellIs" dxfId="12" priority="14" operator="lessThan">
      <formula>1000</formula>
    </cfRule>
  </conditionalFormatting>
  <conditionalFormatting sqref="C188:J218">
    <cfRule type="cellIs" dxfId="11" priority="11" operator="greaterThan">
      <formula>5000</formula>
    </cfRule>
    <cfRule type="cellIs" dxfId="10" priority="12" operator="lessThan">
      <formula>1000</formula>
    </cfRule>
  </conditionalFormatting>
  <conditionalFormatting sqref="C219:J246">
    <cfRule type="cellIs" dxfId="9" priority="9" operator="greaterThan">
      <formula>5000</formula>
    </cfRule>
    <cfRule type="cellIs" dxfId="8" priority="10" operator="lessThan">
      <formula>1000</formula>
    </cfRule>
  </conditionalFormatting>
  <conditionalFormatting sqref="C247:J277">
    <cfRule type="cellIs" dxfId="7" priority="7" operator="greaterThan">
      <formula>5000</formula>
    </cfRule>
    <cfRule type="cellIs" dxfId="6" priority="8" operator="lessThan">
      <formula>1000</formula>
    </cfRule>
  </conditionalFormatting>
  <conditionalFormatting sqref="C278:J307">
    <cfRule type="cellIs" dxfId="5" priority="5" operator="greaterThan">
      <formula>5000</formula>
    </cfRule>
    <cfRule type="cellIs" dxfId="4" priority="6" operator="lessThan">
      <formula>1000</formula>
    </cfRule>
  </conditionalFormatting>
  <conditionalFormatting sqref="C308:J338">
    <cfRule type="cellIs" dxfId="3" priority="3" operator="greaterThan">
      <formula>5000</formula>
    </cfRule>
    <cfRule type="cellIs" dxfId="2" priority="4" operator="lessThan">
      <formula>1000</formula>
    </cfRule>
  </conditionalFormatting>
  <conditionalFormatting sqref="C339:J368">
    <cfRule type="cellIs" dxfId="1" priority="1" operator="greaterThan">
      <formula>5000</formula>
    </cfRule>
    <cfRule type="cellIs" dxfId="0" priority="2" operator="lessThan">
      <formula>1000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Brutos - UFV PDS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Cardoso Finamore Ivo</dc:creator>
  <cp:lastModifiedBy>João Pedro Cardoso Finamore Ivo</cp:lastModifiedBy>
  <dcterms:created xsi:type="dcterms:W3CDTF">2026-07-27T16:34:04Z</dcterms:created>
  <dcterms:modified xsi:type="dcterms:W3CDTF">2026-07-27T16:35:38Z</dcterms:modified>
</cp:coreProperties>
</file>